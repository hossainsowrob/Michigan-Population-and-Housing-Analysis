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codeName="ThisWorkbook" hidePivotFieldList="1" defaultThemeVersion="124226"/>
  <mc:AlternateContent xmlns:mc="http://schemas.openxmlformats.org/markup-compatibility/2006">
    <mc:Choice Requires="x15">
      <x15ac:absPath xmlns:x15ac="http://schemas.microsoft.com/office/spreadsheetml/2010/11/ac" url="/Users/hossainsowrob/Michigan data/Michigan population and housing analysis/"/>
    </mc:Choice>
  </mc:AlternateContent>
  <xr:revisionPtr revIDLastSave="0" documentId="8_{04224C28-9D6C-CC45-98EC-93E258F05827}" xr6:coauthVersionLast="47" xr6:coauthVersionMax="47" xr10:uidLastSave="{00000000-0000-0000-0000-000000000000}"/>
  <bookViews>
    <workbookView xWindow="0" yWindow="780" windowWidth="31260" windowHeight="22240" xr2:uid="{00000000-000D-0000-FFFF-FFFF00000000}"/>
  </bookViews>
  <sheets>
    <sheet name="PivotTable &amp; Analyze" sheetId="6" r:id="rId1"/>
    <sheet name="Population Data" sheetId="1" r:id="rId2"/>
    <sheet name="housing_data_power_query" sheetId="5" r:id="rId3"/>
  </sheets>
  <definedNames>
    <definedName name="_xlnm._FilterDatabase" localSheetId="1" hidden="1">'Population Data'!$A$1:$M$84</definedName>
    <definedName name="_xlchart.v1.0" hidden="1">'Population Data'!$A$2:$A$102</definedName>
    <definedName name="_xlchart.v1.1" hidden="1">'Population Data'!$G$1</definedName>
    <definedName name="_xlchart.v1.10" hidden="1">'Population Data'!$G$11</definedName>
    <definedName name="_xlchart.v1.100" hidden="1">'Population Data'!$G$93</definedName>
    <definedName name="_xlchart.v1.101" hidden="1">'Population Data'!$G$94</definedName>
    <definedName name="_xlchart.v1.102" hidden="1">'Population Data'!$G$95</definedName>
    <definedName name="_xlchart.v1.103" hidden="1">'Population Data'!$G$96</definedName>
    <definedName name="_xlchart.v1.104" hidden="1">'Population Data'!$G$97</definedName>
    <definedName name="_xlchart.v1.105" hidden="1">'Population Data'!$G$98</definedName>
    <definedName name="_xlchart.v1.106" hidden="1">'Population Data'!$G$99</definedName>
    <definedName name="_xlchart.v1.107" hidden="1">'Population Data'!$M$1</definedName>
    <definedName name="_xlchart.v1.108" hidden="1">'Population Data'!$M$10</definedName>
    <definedName name="_xlchart.v1.109" hidden="1">'Population Data'!$M$100</definedName>
    <definedName name="_xlchart.v1.11" hidden="1">'Population Data'!$G$12</definedName>
    <definedName name="_xlchart.v1.110" hidden="1">'Population Data'!$M$101</definedName>
    <definedName name="_xlchart.v1.111" hidden="1">'Population Data'!$M$102</definedName>
    <definedName name="_xlchart.v1.112" hidden="1">'Population Data'!$M$11</definedName>
    <definedName name="_xlchart.v1.113" hidden="1">'Population Data'!$M$12</definedName>
    <definedName name="_xlchart.v1.114" hidden="1">'Population Data'!$M$13</definedName>
    <definedName name="_xlchart.v1.115" hidden="1">'Population Data'!$M$14</definedName>
    <definedName name="_xlchart.v1.116" hidden="1">'Population Data'!$M$15</definedName>
    <definedName name="_xlchart.v1.117" hidden="1">'Population Data'!$M$16</definedName>
    <definedName name="_xlchart.v1.118" hidden="1">'Population Data'!$M$17</definedName>
    <definedName name="_xlchart.v1.119" hidden="1">'Population Data'!$M$18</definedName>
    <definedName name="_xlchart.v1.12" hidden="1">'Population Data'!$G$13</definedName>
    <definedName name="_xlchart.v1.120" hidden="1">'Population Data'!$M$19</definedName>
    <definedName name="_xlchart.v1.121" hidden="1">'Population Data'!$M$2</definedName>
    <definedName name="_xlchart.v1.122" hidden="1">'Population Data'!$M$20</definedName>
    <definedName name="_xlchart.v1.123" hidden="1">'Population Data'!$M$21</definedName>
    <definedName name="_xlchart.v1.124" hidden="1">'Population Data'!$M$22</definedName>
    <definedName name="_xlchart.v1.125" hidden="1">'Population Data'!$M$23</definedName>
    <definedName name="_xlchart.v1.126" hidden="1">'Population Data'!$M$24</definedName>
    <definedName name="_xlchart.v1.127" hidden="1">'Population Data'!$M$25</definedName>
    <definedName name="_xlchart.v1.128" hidden="1">'Population Data'!$M$26</definedName>
    <definedName name="_xlchart.v1.129" hidden="1">'Population Data'!$M$27</definedName>
    <definedName name="_xlchart.v1.13" hidden="1">'Population Data'!$G$14</definedName>
    <definedName name="_xlchart.v1.130" hidden="1">'Population Data'!$M$28</definedName>
    <definedName name="_xlchart.v1.131" hidden="1">'Population Data'!$M$29</definedName>
    <definedName name="_xlchart.v1.132" hidden="1">'Population Data'!$M$3</definedName>
    <definedName name="_xlchart.v1.133" hidden="1">'Population Data'!$M$30</definedName>
    <definedName name="_xlchart.v1.134" hidden="1">'Population Data'!$M$31</definedName>
    <definedName name="_xlchart.v1.135" hidden="1">'Population Data'!$M$32</definedName>
    <definedName name="_xlchart.v1.136" hidden="1">'Population Data'!$M$33</definedName>
    <definedName name="_xlchart.v1.137" hidden="1">'Population Data'!$M$34</definedName>
    <definedName name="_xlchart.v1.138" hidden="1">'Population Data'!$M$35</definedName>
    <definedName name="_xlchart.v1.139" hidden="1">'Population Data'!$M$36</definedName>
    <definedName name="_xlchart.v1.14" hidden="1">'Population Data'!$G$15</definedName>
    <definedName name="_xlchart.v1.140" hidden="1">'Population Data'!$M$37</definedName>
    <definedName name="_xlchart.v1.141" hidden="1">'Population Data'!$M$38</definedName>
    <definedName name="_xlchart.v1.142" hidden="1">'Population Data'!$M$39</definedName>
    <definedName name="_xlchart.v1.143" hidden="1">'Population Data'!$M$4</definedName>
    <definedName name="_xlchart.v1.144" hidden="1">'Population Data'!$M$40</definedName>
    <definedName name="_xlchart.v1.145" hidden="1">'Population Data'!$M$41</definedName>
    <definedName name="_xlchart.v1.146" hidden="1">'Population Data'!$M$42</definedName>
    <definedName name="_xlchart.v1.147" hidden="1">'Population Data'!$M$43</definedName>
    <definedName name="_xlchart.v1.148" hidden="1">'Population Data'!$M$44</definedName>
    <definedName name="_xlchart.v1.149" hidden="1">'Population Data'!$M$45</definedName>
    <definedName name="_xlchart.v1.15" hidden="1">'Population Data'!$G$16</definedName>
    <definedName name="_xlchart.v1.150" hidden="1">'Population Data'!$M$46</definedName>
    <definedName name="_xlchart.v1.151" hidden="1">'Population Data'!$M$47</definedName>
    <definedName name="_xlchart.v1.152" hidden="1">'Population Data'!$M$48</definedName>
    <definedName name="_xlchart.v1.153" hidden="1">'Population Data'!$M$49</definedName>
    <definedName name="_xlchart.v1.154" hidden="1">'Population Data'!$M$5</definedName>
    <definedName name="_xlchart.v1.155" hidden="1">'Population Data'!$M$50</definedName>
    <definedName name="_xlchart.v1.156" hidden="1">'Population Data'!$M$51</definedName>
    <definedName name="_xlchart.v1.157" hidden="1">'Population Data'!$M$52</definedName>
    <definedName name="_xlchart.v1.158" hidden="1">'Population Data'!$M$53</definedName>
    <definedName name="_xlchart.v1.159" hidden="1">'Population Data'!$M$54</definedName>
    <definedName name="_xlchart.v1.16" hidden="1">'Population Data'!$G$17</definedName>
    <definedName name="_xlchart.v1.160" hidden="1">'Population Data'!$M$55</definedName>
    <definedName name="_xlchart.v1.161" hidden="1">'Population Data'!$M$56</definedName>
    <definedName name="_xlchart.v1.162" hidden="1">'Population Data'!$M$57</definedName>
    <definedName name="_xlchart.v1.163" hidden="1">'Population Data'!$M$58</definedName>
    <definedName name="_xlchart.v1.164" hidden="1">'Population Data'!$M$59</definedName>
    <definedName name="_xlchart.v1.165" hidden="1">'Population Data'!$M$6</definedName>
    <definedName name="_xlchart.v1.166" hidden="1">'Population Data'!$M$60</definedName>
    <definedName name="_xlchart.v1.167" hidden="1">'Population Data'!$M$61</definedName>
    <definedName name="_xlchart.v1.168" hidden="1">'Population Data'!$M$62</definedName>
    <definedName name="_xlchart.v1.169" hidden="1">'Population Data'!$M$63</definedName>
    <definedName name="_xlchart.v1.17" hidden="1">'Population Data'!$G$18</definedName>
    <definedName name="_xlchart.v1.170" hidden="1">'Population Data'!$M$64</definedName>
    <definedName name="_xlchart.v1.171" hidden="1">'Population Data'!$M$65</definedName>
    <definedName name="_xlchart.v1.172" hidden="1">'Population Data'!$M$66</definedName>
    <definedName name="_xlchart.v1.173" hidden="1">'Population Data'!$M$67</definedName>
    <definedName name="_xlchart.v1.174" hidden="1">'Population Data'!$M$68</definedName>
    <definedName name="_xlchart.v1.175" hidden="1">'Population Data'!$M$69</definedName>
    <definedName name="_xlchart.v1.176" hidden="1">'Population Data'!$M$7</definedName>
    <definedName name="_xlchart.v1.177" hidden="1">'Population Data'!$M$70</definedName>
    <definedName name="_xlchart.v1.178" hidden="1">'Population Data'!$M$71</definedName>
    <definedName name="_xlchart.v1.179" hidden="1">'Population Data'!$M$72</definedName>
    <definedName name="_xlchart.v1.18" hidden="1">'Population Data'!$G$19</definedName>
    <definedName name="_xlchart.v1.180" hidden="1">'Population Data'!$M$73</definedName>
    <definedName name="_xlchart.v1.181" hidden="1">'Population Data'!$M$74</definedName>
    <definedName name="_xlchart.v1.182" hidden="1">'Population Data'!$M$75</definedName>
    <definedName name="_xlchart.v1.183" hidden="1">'Population Data'!$M$76</definedName>
    <definedName name="_xlchart.v1.184" hidden="1">'Population Data'!$M$77</definedName>
    <definedName name="_xlchart.v1.185" hidden="1">'Population Data'!$M$78</definedName>
    <definedName name="_xlchart.v1.186" hidden="1">'Population Data'!$M$79</definedName>
    <definedName name="_xlchart.v1.187" hidden="1">'Population Data'!$M$8</definedName>
    <definedName name="_xlchart.v1.188" hidden="1">'Population Data'!$M$80</definedName>
    <definedName name="_xlchart.v1.189" hidden="1">'Population Data'!$M$81</definedName>
    <definedName name="_xlchart.v1.19" hidden="1">'Population Data'!$G$2</definedName>
    <definedName name="_xlchart.v1.190" hidden="1">'Population Data'!$M$82</definedName>
    <definedName name="_xlchart.v1.191" hidden="1">'Population Data'!$M$83</definedName>
    <definedName name="_xlchart.v1.192" hidden="1">'Population Data'!$M$84</definedName>
    <definedName name="_xlchart.v1.193" hidden="1">'Population Data'!$M$85</definedName>
    <definedName name="_xlchart.v1.194" hidden="1">'Population Data'!$M$86</definedName>
    <definedName name="_xlchart.v1.195" hidden="1">'Population Data'!$M$87</definedName>
    <definedName name="_xlchart.v1.196" hidden="1">'Population Data'!$M$88</definedName>
    <definedName name="_xlchart.v1.197" hidden="1">'Population Data'!$M$89</definedName>
    <definedName name="_xlchart.v1.198" hidden="1">'Population Data'!$M$9</definedName>
    <definedName name="_xlchart.v1.199" hidden="1">'Population Data'!$M$90</definedName>
    <definedName name="_xlchart.v1.2" hidden="1">'Population Data'!$G$2:$G$102</definedName>
    <definedName name="_xlchart.v1.20" hidden="1">'Population Data'!$G$20</definedName>
    <definedName name="_xlchart.v1.200" hidden="1">'Population Data'!$M$91</definedName>
    <definedName name="_xlchart.v1.201" hidden="1">'Population Data'!$M$92</definedName>
    <definedName name="_xlchart.v1.202" hidden="1">'Population Data'!$M$93</definedName>
    <definedName name="_xlchart.v1.203" hidden="1">'Population Data'!$M$94</definedName>
    <definedName name="_xlchart.v1.204" hidden="1">'Population Data'!$M$95</definedName>
    <definedName name="_xlchart.v1.205" hidden="1">'Population Data'!$M$96</definedName>
    <definedName name="_xlchart.v1.206" hidden="1">'Population Data'!$M$97</definedName>
    <definedName name="_xlchart.v1.207" hidden="1">'Population Data'!$M$98</definedName>
    <definedName name="_xlchart.v1.208" hidden="1">'Population Data'!$M$99</definedName>
    <definedName name="_xlchart.v1.209" hidden="1">'Population Data'!$G$2:$G$102</definedName>
    <definedName name="_xlchart.v1.21" hidden="1">'Population Data'!$G$21</definedName>
    <definedName name="_xlchart.v1.210" hidden="1">'Population Data'!$M$1</definedName>
    <definedName name="_xlchart.v1.211" hidden="1">'Population Data'!$M$2:$M$102</definedName>
    <definedName name="_xlchart.v1.212" hidden="1">'Population Data'!$G$2:$G$102</definedName>
    <definedName name="_xlchart.v1.213" hidden="1">'Population Data'!$M$1</definedName>
    <definedName name="_xlchart.v1.214" hidden="1">'Population Data'!$M$2:$M$102</definedName>
    <definedName name="_xlchart.v1.215" hidden="1">'Population Data'!$G$1</definedName>
    <definedName name="_xlchart.v1.216" hidden="1">'Population Data'!$G$10</definedName>
    <definedName name="_xlchart.v1.217" hidden="1">'Population Data'!$G$100</definedName>
    <definedName name="_xlchart.v1.218" hidden="1">'Population Data'!$G$101</definedName>
    <definedName name="_xlchart.v1.219" hidden="1">'Population Data'!$G$102</definedName>
    <definedName name="_xlchart.v1.22" hidden="1">'Population Data'!$G$22</definedName>
    <definedName name="_xlchart.v1.220" hidden="1">'Population Data'!$G$11</definedName>
    <definedName name="_xlchart.v1.221" hidden="1">'Population Data'!$G$12</definedName>
    <definedName name="_xlchart.v1.222" hidden="1">'Population Data'!$G$13</definedName>
    <definedName name="_xlchart.v1.223" hidden="1">'Population Data'!$G$14</definedName>
    <definedName name="_xlchart.v1.224" hidden="1">'Population Data'!$G$15</definedName>
    <definedName name="_xlchart.v1.225" hidden="1">'Population Data'!$G$16</definedName>
    <definedName name="_xlchart.v1.226" hidden="1">'Population Data'!$G$17</definedName>
    <definedName name="_xlchart.v1.227" hidden="1">'Population Data'!$G$18</definedName>
    <definedName name="_xlchart.v1.228" hidden="1">'Population Data'!$G$19</definedName>
    <definedName name="_xlchart.v1.229" hidden="1">'Population Data'!$G$2</definedName>
    <definedName name="_xlchart.v1.23" hidden="1">'Population Data'!$G$23</definedName>
    <definedName name="_xlchart.v1.230" hidden="1">'Population Data'!$G$20</definedName>
    <definedName name="_xlchart.v1.231" hidden="1">'Population Data'!$G$21</definedName>
    <definedName name="_xlchart.v1.232" hidden="1">'Population Data'!$G$22</definedName>
    <definedName name="_xlchart.v1.233" hidden="1">'Population Data'!$G$23</definedName>
    <definedName name="_xlchart.v1.234" hidden="1">'Population Data'!$G$24</definedName>
    <definedName name="_xlchart.v1.235" hidden="1">'Population Data'!$G$25</definedName>
    <definedName name="_xlchart.v1.236" hidden="1">'Population Data'!$G$26</definedName>
    <definedName name="_xlchart.v1.237" hidden="1">'Population Data'!$G$27</definedName>
    <definedName name="_xlchart.v1.238" hidden="1">'Population Data'!$G$28</definedName>
    <definedName name="_xlchart.v1.239" hidden="1">'Population Data'!$G$29</definedName>
    <definedName name="_xlchart.v1.24" hidden="1">'Population Data'!$G$24</definedName>
    <definedName name="_xlchart.v1.240" hidden="1">'Population Data'!$G$3</definedName>
    <definedName name="_xlchart.v1.241" hidden="1">'Population Data'!$G$30</definedName>
    <definedName name="_xlchart.v1.242" hidden="1">'Population Data'!$G$31</definedName>
    <definedName name="_xlchart.v1.243" hidden="1">'Population Data'!$G$32</definedName>
    <definedName name="_xlchart.v1.244" hidden="1">'Population Data'!$G$33</definedName>
    <definedName name="_xlchart.v1.245" hidden="1">'Population Data'!$G$34</definedName>
    <definedName name="_xlchart.v1.246" hidden="1">'Population Data'!$G$35</definedName>
    <definedName name="_xlchart.v1.247" hidden="1">'Population Data'!$G$36</definedName>
    <definedName name="_xlchart.v1.248" hidden="1">'Population Data'!$G$37</definedName>
    <definedName name="_xlchart.v1.249" hidden="1">'Population Data'!$G$38</definedName>
    <definedName name="_xlchart.v1.25" hidden="1">'Population Data'!$G$25</definedName>
    <definedName name="_xlchart.v1.250" hidden="1">'Population Data'!$G$39</definedName>
    <definedName name="_xlchart.v1.251" hidden="1">'Population Data'!$G$4</definedName>
    <definedName name="_xlchart.v1.252" hidden="1">'Population Data'!$G$40</definedName>
    <definedName name="_xlchart.v1.253" hidden="1">'Population Data'!$G$41</definedName>
    <definedName name="_xlchart.v1.254" hidden="1">'Population Data'!$G$42</definedName>
    <definedName name="_xlchart.v1.255" hidden="1">'Population Data'!$G$43</definedName>
    <definedName name="_xlchart.v1.256" hidden="1">'Population Data'!$G$44</definedName>
    <definedName name="_xlchart.v1.257" hidden="1">'Population Data'!$G$45</definedName>
    <definedName name="_xlchart.v1.258" hidden="1">'Population Data'!$G$46</definedName>
    <definedName name="_xlchart.v1.259" hidden="1">'Population Data'!$G$47</definedName>
    <definedName name="_xlchart.v1.26" hidden="1">'Population Data'!$G$26</definedName>
    <definedName name="_xlchart.v1.260" hidden="1">'Population Data'!$G$48</definedName>
    <definedName name="_xlchart.v1.261" hidden="1">'Population Data'!$G$49</definedName>
    <definedName name="_xlchart.v1.262" hidden="1">'Population Data'!$G$5</definedName>
    <definedName name="_xlchart.v1.263" hidden="1">'Population Data'!$G$50</definedName>
    <definedName name="_xlchart.v1.264" hidden="1">'Population Data'!$G$51</definedName>
    <definedName name="_xlchart.v1.265" hidden="1">'Population Data'!$G$52</definedName>
    <definedName name="_xlchart.v1.266" hidden="1">'Population Data'!$G$53</definedName>
    <definedName name="_xlchart.v1.267" hidden="1">'Population Data'!$G$54</definedName>
    <definedName name="_xlchart.v1.268" hidden="1">'Population Data'!$G$55</definedName>
    <definedName name="_xlchart.v1.269" hidden="1">'Population Data'!$G$56</definedName>
    <definedName name="_xlchart.v1.27" hidden="1">'Population Data'!$G$27</definedName>
    <definedName name="_xlchart.v1.270" hidden="1">'Population Data'!$G$57</definedName>
    <definedName name="_xlchart.v1.271" hidden="1">'Population Data'!$G$58</definedName>
    <definedName name="_xlchart.v1.272" hidden="1">'Population Data'!$G$59</definedName>
    <definedName name="_xlchart.v1.273" hidden="1">'Population Data'!$G$6</definedName>
    <definedName name="_xlchart.v1.274" hidden="1">'Population Data'!$G$60</definedName>
    <definedName name="_xlchart.v1.275" hidden="1">'Population Data'!$G$61</definedName>
    <definedName name="_xlchart.v1.276" hidden="1">'Population Data'!$G$62</definedName>
    <definedName name="_xlchart.v1.277" hidden="1">'Population Data'!$G$63</definedName>
    <definedName name="_xlchart.v1.278" hidden="1">'Population Data'!$G$64</definedName>
    <definedName name="_xlchart.v1.279" hidden="1">'Population Data'!$G$65</definedName>
    <definedName name="_xlchart.v1.28" hidden="1">'Population Data'!$G$28</definedName>
    <definedName name="_xlchart.v1.280" hidden="1">'Population Data'!$G$66</definedName>
    <definedName name="_xlchart.v1.281" hidden="1">'Population Data'!$G$67</definedName>
    <definedName name="_xlchart.v1.282" hidden="1">'Population Data'!$G$68</definedName>
    <definedName name="_xlchart.v1.283" hidden="1">'Population Data'!$G$69</definedName>
    <definedName name="_xlchart.v1.284" hidden="1">'Population Data'!$G$7</definedName>
    <definedName name="_xlchart.v1.285" hidden="1">'Population Data'!$G$70</definedName>
    <definedName name="_xlchart.v1.286" hidden="1">'Population Data'!$G$71</definedName>
    <definedName name="_xlchart.v1.287" hidden="1">'Population Data'!$G$72</definedName>
    <definedName name="_xlchart.v1.288" hidden="1">'Population Data'!$G$73</definedName>
    <definedName name="_xlchart.v1.289" hidden="1">'Population Data'!$G$74</definedName>
    <definedName name="_xlchart.v1.29" hidden="1">'Population Data'!$G$29</definedName>
    <definedName name="_xlchart.v1.290" hidden="1">'Population Data'!$G$75</definedName>
    <definedName name="_xlchart.v1.291" hidden="1">'Population Data'!$G$76</definedName>
    <definedName name="_xlchart.v1.292" hidden="1">'Population Data'!$G$77</definedName>
    <definedName name="_xlchart.v1.293" hidden="1">'Population Data'!$G$78</definedName>
    <definedName name="_xlchart.v1.294" hidden="1">'Population Data'!$G$79</definedName>
    <definedName name="_xlchart.v1.295" hidden="1">'Population Data'!$G$8</definedName>
    <definedName name="_xlchart.v1.296" hidden="1">'Population Data'!$G$80</definedName>
    <definedName name="_xlchart.v1.297" hidden="1">'Population Data'!$G$81</definedName>
    <definedName name="_xlchart.v1.298" hidden="1">'Population Data'!$G$82</definedName>
    <definedName name="_xlchart.v1.299" hidden="1">'Population Data'!$G$83</definedName>
    <definedName name="_xlchart.v1.3" hidden="1">'Population Data'!$M$1</definedName>
    <definedName name="_xlchart.v1.30" hidden="1">'Population Data'!$G$3</definedName>
    <definedName name="_xlchart.v1.300" hidden="1">'Population Data'!$G$84</definedName>
    <definedName name="_xlchart.v1.301" hidden="1">'Population Data'!$G$85</definedName>
    <definedName name="_xlchart.v1.302" hidden="1">'Population Data'!$G$86</definedName>
    <definedName name="_xlchart.v1.303" hidden="1">'Population Data'!$G$87</definedName>
    <definedName name="_xlchart.v1.304" hidden="1">'Population Data'!$G$88</definedName>
    <definedName name="_xlchart.v1.305" hidden="1">'Population Data'!$G$89</definedName>
    <definedName name="_xlchart.v1.306" hidden="1">'Population Data'!$G$9</definedName>
    <definedName name="_xlchart.v1.307" hidden="1">'Population Data'!$G$90</definedName>
    <definedName name="_xlchart.v1.308" hidden="1">'Population Data'!$G$91</definedName>
    <definedName name="_xlchart.v1.309" hidden="1">'Population Data'!$G$92</definedName>
    <definedName name="_xlchart.v1.31" hidden="1">'Population Data'!$G$30</definedName>
    <definedName name="_xlchart.v1.310" hidden="1">'Population Data'!$G$93</definedName>
    <definedName name="_xlchart.v1.311" hidden="1">'Population Data'!$G$94</definedName>
    <definedName name="_xlchart.v1.312" hidden="1">'Population Data'!$G$95</definedName>
    <definedName name="_xlchart.v1.313" hidden="1">'Population Data'!$G$96</definedName>
    <definedName name="_xlchart.v1.314" hidden="1">'Population Data'!$G$97</definedName>
    <definedName name="_xlchart.v1.315" hidden="1">'Population Data'!$G$98</definedName>
    <definedName name="_xlchart.v1.316" hidden="1">'Population Data'!$G$99</definedName>
    <definedName name="_xlchart.v1.317" hidden="1">'Population Data'!$M$1</definedName>
    <definedName name="_xlchart.v1.318" hidden="1">'Population Data'!$M$10</definedName>
    <definedName name="_xlchart.v1.319" hidden="1">'Population Data'!$M$100</definedName>
    <definedName name="_xlchart.v1.32" hidden="1">'Population Data'!$G$31</definedName>
    <definedName name="_xlchart.v1.320" hidden="1">'Population Data'!$M$101</definedName>
    <definedName name="_xlchart.v1.321" hidden="1">'Population Data'!$M$102</definedName>
    <definedName name="_xlchart.v1.322" hidden="1">'Population Data'!$M$11</definedName>
    <definedName name="_xlchart.v1.323" hidden="1">'Population Data'!$M$12</definedName>
    <definedName name="_xlchart.v1.324" hidden="1">'Population Data'!$M$13</definedName>
    <definedName name="_xlchart.v1.325" hidden="1">'Population Data'!$M$14</definedName>
    <definedName name="_xlchart.v1.326" hidden="1">'Population Data'!$M$15</definedName>
    <definedName name="_xlchart.v1.327" hidden="1">'Population Data'!$M$16</definedName>
    <definedName name="_xlchart.v1.328" hidden="1">'Population Data'!$M$17</definedName>
    <definedName name="_xlchart.v1.329" hidden="1">'Population Data'!$M$18</definedName>
    <definedName name="_xlchart.v1.33" hidden="1">'Population Data'!$G$32</definedName>
    <definedName name="_xlchart.v1.330" hidden="1">'Population Data'!$M$19</definedName>
    <definedName name="_xlchart.v1.331" hidden="1">'Population Data'!$M$2</definedName>
    <definedName name="_xlchart.v1.332" hidden="1">'Population Data'!$M$20</definedName>
    <definedName name="_xlchart.v1.333" hidden="1">'Population Data'!$M$21</definedName>
    <definedName name="_xlchart.v1.334" hidden="1">'Population Data'!$M$22</definedName>
    <definedName name="_xlchart.v1.335" hidden="1">'Population Data'!$M$23</definedName>
    <definedName name="_xlchart.v1.336" hidden="1">'Population Data'!$M$24</definedName>
    <definedName name="_xlchart.v1.337" hidden="1">'Population Data'!$M$25</definedName>
    <definedName name="_xlchart.v1.338" hidden="1">'Population Data'!$M$26</definedName>
    <definedName name="_xlchart.v1.339" hidden="1">'Population Data'!$M$27</definedName>
    <definedName name="_xlchart.v1.34" hidden="1">'Population Data'!$G$33</definedName>
    <definedName name="_xlchart.v1.340" hidden="1">'Population Data'!$M$28</definedName>
    <definedName name="_xlchart.v1.341" hidden="1">'Population Data'!$M$29</definedName>
    <definedName name="_xlchart.v1.342" hidden="1">'Population Data'!$M$3</definedName>
    <definedName name="_xlchart.v1.343" hidden="1">'Population Data'!$M$30</definedName>
    <definedName name="_xlchart.v1.344" hidden="1">'Population Data'!$M$31</definedName>
    <definedName name="_xlchart.v1.345" hidden="1">'Population Data'!$M$32</definedName>
    <definedName name="_xlchart.v1.346" hidden="1">'Population Data'!$M$33</definedName>
    <definedName name="_xlchart.v1.347" hidden="1">'Population Data'!$M$34</definedName>
    <definedName name="_xlchart.v1.348" hidden="1">'Population Data'!$M$35</definedName>
    <definedName name="_xlchart.v1.349" hidden="1">'Population Data'!$M$36</definedName>
    <definedName name="_xlchart.v1.35" hidden="1">'Population Data'!$G$34</definedName>
    <definedName name="_xlchart.v1.350" hidden="1">'Population Data'!$M$37</definedName>
    <definedName name="_xlchart.v1.351" hidden="1">'Population Data'!$M$38</definedName>
    <definedName name="_xlchart.v1.352" hidden="1">'Population Data'!$M$39</definedName>
    <definedName name="_xlchart.v1.353" hidden="1">'Population Data'!$M$4</definedName>
    <definedName name="_xlchart.v1.354" hidden="1">'Population Data'!$M$40</definedName>
    <definedName name="_xlchart.v1.355" hidden="1">'Population Data'!$M$41</definedName>
    <definedName name="_xlchart.v1.356" hidden="1">'Population Data'!$M$42</definedName>
    <definedName name="_xlchart.v1.357" hidden="1">'Population Data'!$M$43</definedName>
    <definedName name="_xlchart.v1.358" hidden="1">'Population Data'!$M$44</definedName>
    <definedName name="_xlchart.v1.359" hidden="1">'Population Data'!$M$45</definedName>
    <definedName name="_xlchart.v1.36" hidden="1">'Population Data'!$G$35</definedName>
    <definedName name="_xlchart.v1.360" hidden="1">'Population Data'!$M$46</definedName>
    <definedName name="_xlchart.v1.361" hidden="1">'Population Data'!$M$47</definedName>
    <definedName name="_xlchart.v1.362" hidden="1">'Population Data'!$M$48</definedName>
    <definedName name="_xlchart.v1.363" hidden="1">'Population Data'!$M$49</definedName>
    <definedName name="_xlchart.v1.364" hidden="1">'Population Data'!$M$5</definedName>
    <definedName name="_xlchart.v1.365" hidden="1">'Population Data'!$M$50</definedName>
    <definedName name="_xlchart.v1.366" hidden="1">'Population Data'!$M$51</definedName>
    <definedName name="_xlchart.v1.367" hidden="1">'Population Data'!$M$52</definedName>
    <definedName name="_xlchart.v1.368" hidden="1">'Population Data'!$M$53</definedName>
    <definedName name="_xlchart.v1.369" hidden="1">'Population Data'!$M$54</definedName>
    <definedName name="_xlchart.v1.37" hidden="1">'Population Data'!$G$36</definedName>
    <definedName name="_xlchart.v1.370" hidden="1">'Population Data'!$M$55</definedName>
    <definedName name="_xlchart.v1.371" hidden="1">'Population Data'!$M$56</definedName>
    <definedName name="_xlchart.v1.372" hidden="1">'Population Data'!$M$57</definedName>
    <definedName name="_xlchart.v1.373" hidden="1">'Population Data'!$M$58</definedName>
    <definedName name="_xlchart.v1.374" hidden="1">'Population Data'!$M$59</definedName>
    <definedName name="_xlchart.v1.375" hidden="1">'Population Data'!$M$6</definedName>
    <definedName name="_xlchart.v1.376" hidden="1">'Population Data'!$M$60</definedName>
    <definedName name="_xlchart.v1.377" hidden="1">'Population Data'!$M$61</definedName>
    <definedName name="_xlchart.v1.378" hidden="1">'Population Data'!$M$62</definedName>
    <definedName name="_xlchart.v1.379" hidden="1">'Population Data'!$M$63</definedName>
    <definedName name="_xlchart.v1.38" hidden="1">'Population Data'!$G$37</definedName>
    <definedName name="_xlchart.v1.380" hidden="1">'Population Data'!$M$64</definedName>
    <definedName name="_xlchart.v1.381" hidden="1">'Population Data'!$M$65</definedName>
    <definedName name="_xlchart.v1.382" hidden="1">'Population Data'!$M$66</definedName>
    <definedName name="_xlchart.v1.383" hidden="1">'Population Data'!$M$67</definedName>
    <definedName name="_xlchart.v1.384" hidden="1">'Population Data'!$M$68</definedName>
    <definedName name="_xlchart.v1.385" hidden="1">'Population Data'!$M$69</definedName>
    <definedName name="_xlchart.v1.386" hidden="1">'Population Data'!$M$7</definedName>
    <definedName name="_xlchart.v1.387" hidden="1">'Population Data'!$M$70</definedName>
    <definedName name="_xlchart.v1.388" hidden="1">'Population Data'!$M$71</definedName>
    <definedName name="_xlchart.v1.389" hidden="1">'Population Data'!$M$72</definedName>
    <definedName name="_xlchart.v1.39" hidden="1">'Population Data'!$G$38</definedName>
    <definedName name="_xlchart.v1.390" hidden="1">'Population Data'!$M$73</definedName>
    <definedName name="_xlchart.v1.391" hidden="1">'Population Data'!$M$74</definedName>
    <definedName name="_xlchart.v1.392" hidden="1">'Population Data'!$M$75</definedName>
    <definedName name="_xlchart.v1.393" hidden="1">'Population Data'!$M$76</definedName>
    <definedName name="_xlchart.v1.394" hidden="1">'Population Data'!$M$77</definedName>
    <definedName name="_xlchart.v1.395" hidden="1">'Population Data'!$M$78</definedName>
    <definedName name="_xlchart.v1.396" hidden="1">'Population Data'!$M$79</definedName>
    <definedName name="_xlchart.v1.397" hidden="1">'Population Data'!$M$8</definedName>
    <definedName name="_xlchart.v1.398" hidden="1">'Population Data'!$M$80</definedName>
    <definedName name="_xlchart.v1.399" hidden="1">'Population Data'!$M$81</definedName>
    <definedName name="_xlchart.v1.4" hidden="1">'Population Data'!$M$2:$M$102</definedName>
    <definedName name="_xlchart.v1.40" hidden="1">'Population Data'!$G$39</definedName>
    <definedName name="_xlchart.v1.400" hidden="1">'Population Data'!$M$82</definedName>
    <definedName name="_xlchart.v1.401" hidden="1">'Population Data'!$M$83</definedName>
    <definedName name="_xlchart.v1.402" hidden="1">'Population Data'!$M$84</definedName>
    <definedName name="_xlchart.v1.403" hidden="1">'Population Data'!$M$85</definedName>
    <definedName name="_xlchart.v1.404" hidden="1">'Population Data'!$M$86</definedName>
    <definedName name="_xlchart.v1.405" hidden="1">'Population Data'!$M$87</definedName>
    <definedName name="_xlchart.v1.406" hidden="1">'Population Data'!$M$88</definedName>
    <definedName name="_xlchart.v1.407" hidden="1">'Population Data'!$M$89</definedName>
    <definedName name="_xlchart.v1.408" hidden="1">'Population Data'!$M$9</definedName>
    <definedName name="_xlchart.v1.409" hidden="1">'Population Data'!$M$90</definedName>
    <definedName name="_xlchart.v1.41" hidden="1">'Population Data'!$G$4</definedName>
    <definedName name="_xlchart.v1.410" hidden="1">'Population Data'!$M$91</definedName>
    <definedName name="_xlchart.v1.411" hidden="1">'Population Data'!$M$92</definedName>
    <definedName name="_xlchart.v1.412" hidden="1">'Population Data'!$M$93</definedName>
    <definedName name="_xlchart.v1.413" hidden="1">'Population Data'!$M$94</definedName>
    <definedName name="_xlchart.v1.414" hidden="1">'Population Data'!$M$95</definedName>
    <definedName name="_xlchart.v1.415" hidden="1">'Population Data'!$M$96</definedName>
    <definedName name="_xlchart.v1.416" hidden="1">'Population Data'!$M$97</definedName>
    <definedName name="_xlchart.v1.417" hidden="1">'Population Data'!$M$98</definedName>
    <definedName name="_xlchart.v1.418" hidden="1">'Population Data'!$M$99</definedName>
    <definedName name="_xlchart.v1.42" hidden="1">'Population Data'!$G$40</definedName>
    <definedName name="_xlchart.v1.43" hidden="1">'Population Data'!$G$41</definedName>
    <definedName name="_xlchart.v1.44" hidden="1">'Population Data'!$G$42</definedName>
    <definedName name="_xlchart.v1.45" hidden="1">'Population Data'!$G$43</definedName>
    <definedName name="_xlchart.v1.46" hidden="1">'Population Data'!$G$44</definedName>
    <definedName name="_xlchart.v1.47" hidden="1">'Population Data'!$G$45</definedName>
    <definedName name="_xlchart.v1.48" hidden="1">'Population Data'!$G$46</definedName>
    <definedName name="_xlchart.v1.49" hidden="1">'Population Data'!$G$47</definedName>
    <definedName name="_xlchart.v1.5" hidden="1">'Population Data'!$G$1</definedName>
    <definedName name="_xlchart.v1.50" hidden="1">'Population Data'!$G$48</definedName>
    <definedName name="_xlchart.v1.51" hidden="1">'Population Data'!$G$49</definedName>
    <definedName name="_xlchart.v1.52" hidden="1">'Population Data'!$G$5</definedName>
    <definedName name="_xlchart.v1.53" hidden="1">'Population Data'!$G$50</definedName>
    <definedName name="_xlchart.v1.54" hidden="1">'Population Data'!$G$51</definedName>
    <definedName name="_xlchart.v1.55" hidden="1">'Population Data'!$G$52</definedName>
    <definedName name="_xlchart.v1.56" hidden="1">'Population Data'!$G$53</definedName>
    <definedName name="_xlchart.v1.57" hidden="1">'Population Data'!$G$54</definedName>
    <definedName name="_xlchart.v1.58" hidden="1">'Population Data'!$G$55</definedName>
    <definedName name="_xlchart.v1.59" hidden="1">'Population Data'!$G$56</definedName>
    <definedName name="_xlchart.v1.6" hidden="1">'Population Data'!$G$10</definedName>
    <definedName name="_xlchart.v1.60" hidden="1">'Population Data'!$G$57</definedName>
    <definedName name="_xlchart.v1.61" hidden="1">'Population Data'!$G$58</definedName>
    <definedName name="_xlchart.v1.62" hidden="1">'Population Data'!$G$59</definedName>
    <definedName name="_xlchart.v1.63" hidden="1">'Population Data'!$G$6</definedName>
    <definedName name="_xlchart.v1.64" hidden="1">'Population Data'!$G$60</definedName>
    <definedName name="_xlchart.v1.65" hidden="1">'Population Data'!$G$61</definedName>
    <definedName name="_xlchart.v1.66" hidden="1">'Population Data'!$G$62</definedName>
    <definedName name="_xlchart.v1.67" hidden="1">'Population Data'!$G$63</definedName>
    <definedName name="_xlchart.v1.68" hidden="1">'Population Data'!$G$64</definedName>
    <definedName name="_xlchart.v1.69" hidden="1">'Population Data'!$G$65</definedName>
    <definedName name="_xlchart.v1.7" hidden="1">'Population Data'!$G$100</definedName>
    <definedName name="_xlchart.v1.70" hidden="1">'Population Data'!$G$66</definedName>
    <definedName name="_xlchart.v1.71" hidden="1">'Population Data'!$G$67</definedName>
    <definedName name="_xlchart.v1.72" hidden="1">'Population Data'!$G$68</definedName>
    <definedName name="_xlchart.v1.73" hidden="1">'Population Data'!$G$69</definedName>
    <definedName name="_xlchart.v1.74" hidden="1">'Population Data'!$G$7</definedName>
    <definedName name="_xlchart.v1.75" hidden="1">'Population Data'!$G$70</definedName>
    <definedName name="_xlchart.v1.76" hidden="1">'Population Data'!$G$71</definedName>
    <definedName name="_xlchart.v1.77" hidden="1">'Population Data'!$G$72</definedName>
    <definedName name="_xlchart.v1.78" hidden="1">'Population Data'!$G$73</definedName>
    <definedName name="_xlchart.v1.79" hidden="1">'Population Data'!$G$74</definedName>
    <definedName name="_xlchart.v1.8" hidden="1">'Population Data'!$G$101</definedName>
    <definedName name="_xlchart.v1.80" hidden="1">'Population Data'!$G$75</definedName>
    <definedName name="_xlchart.v1.81" hidden="1">'Population Data'!$G$76</definedName>
    <definedName name="_xlchart.v1.82" hidden="1">'Population Data'!$G$77</definedName>
    <definedName name="_xlchart.v1.83" hidden="1">'Population Data'!$G$78</definedName>
    <definedName name="_xlchart.v1.84" hidden="1">'Population Data'!$G$79</definedName>
    <definedName name="_xlchart.v1.85" hidden="1">'Population Data'!$G$8</definedName>
    <definedName name="_xlchart.v1.86" hidden="1">'Population Data'!$G$80</definedName>
    <definedName name="_xlchart.v1.87" hidden="1">'Population Data'!$G$81</definedName>
    <definedName name="_xlchart.v1.88" hidden="1">'Population Data'!$G$82</definedName>
    <definedName name="_xlchart.v1.89" hidden="1">'Population Data'!$G$83</definedName>
    <definedName name="_xlchart.v1.9" hidden="1">'Population Data'!$G$102</definedName>
    <definedName name="_xlchart.v1.90" hidden="1">'Population Data'!$G$84</definedName>
    <definedName name="_xlchart.v1.91" hidden="1">'Population Data'!$G$85</definedName>
    <definedName name="_xlchart.v1.92" hidden="1">'Population Data'!$G$86</definedName>
    <definedName name="_xlchart.v1.93" hidden="1">'Population Data'!$G$87</definedName>
    <definedName name="_xlchart.v1.94" hidden="1">'Population Data'!$G$88</definedName>
    <definedName name="_xlchart.v1.95" hidden="1">'Population Data'!$G$89</definedName>
    <definedName name="_xlchart.v1.96" hidden="1">'Population Data'!$G$9</definedName>
    <definedName name="_xlchart.v1.97" hidden="1">'Population Data'!$G$90</definedName>
    <definedName name="_xlchart.v1.98" hidden="1">'Population Data'!$G$91</definedName>
    <definedName name="_xlchart.v1.99" hidden="1">'Population Data'!$G$92</definedName>
    <definedName name="CO_1_26">'Population Data'!$A$1:$F$84</definedName>
    <definedName name="ExternalData_1" localSheetId="2" hidden="1">housing_data_power_query!$A$1:$F$86</definedName>
    <definedName name="_xlnm.Print_Area" localSheetId="1">'Population Data'!$A$1:$F$84</definedName>
    <definedName name="_xlnm.Print_Titles" localSheetId="1">'Population Data'!$A:$A,'Population Data'!#REF!</definedName>
    <definedName name="Slicer_Demographic_area">#N/A</definedName>
    <definedName name="Slicer_Housing_Growth_2020_to_2024">#N/A</definedName>
    <definedName name="Slicer_Population_Growth_2020_to_2024">#N/A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G61" i="1"/>
  <c r="G43" i="1"/>
  <c r="G21" i="1"/>
  <c r="G6" i="1"/>
  <c r="G69" i="1"/>
  <c r="G2" i="1"/>
  <c r="G60" i="1"/>
  <c r="G41" i="1"/>
  <c r="G70" i="1"/>
  <c r="G55" i="1"/>
  <c r="G71" i="1"/>
  <c r="G50" i="1"/>
  <c r="G11" i="1"/>
  <c r="G13" i="1"/>
  <c r="G63" i="1"/>
  <c r="G68" i="1"/>
  <c r="G46" i="1"/>
  <c r="G27" i="1"/>
  <c r="G84" i="1"/>
  <c r="G9" i="1"/>
  <c r="G42" i="1"/>
  <c r="G53" i="1"/>
  <c r="G32" i="1"/>
  <c r="G73" i="1"/>
  <c r="G64" i="1"/>
  <c r="G34" i="1"/>
  <c r="G19" i="1"/>
  <c r="G52" i="1"/>
  <c r="G72" i="1"/>
  <c r="G48" i="1"/>
  <c r="G62" i="1"/>
  <c r="G76" i="1"/>
  <c r="G17" i="1"/>
  <c r="G4" i="1"/>
  <c r="G29" i="1"/>
  <c r="G58" i="1"/>
  <c r="G40" i="1"/>
  <c r="G65" i="1"/>
  <c r="G20" i="1"/>
  <c r="G66" i="1"/>
  <c r="G38" i="1"/>
  <c r="G37" i="1"/>
  <c r="G81" i="1"/>
  <c r="G59" i="1"/>
  <c r="G36" i="1"/>
  <c r="G51" i="1"/>
  <c r="G45" i="1"/>
  <c r="G57" i="1"/>
  <c r="G82" i="1"/>
  <c r="G7" i="1"/>
  <c r="G79" i="1"/>
  <c r="G67" i="1"/>
  <c r="G8" i="1"/>
  <c r="G23" i="1"/>
  <c r="G24" i="1"/>
  <c r="G16" i="1"/>
  <c r="G54" i="1"/>
  <c r="G5" i="1"/>
  <c r="G39" i="1"/>
  <c r="G15" i="1"/>
  <c r="G77" i="1"/>
  <c r="G78" i="1"/>
  <c r="G31" i="1"/>
  <c r="G14" i="1"/>
  <c r="G25" i="1"/>
  <c r="G22" i="1"/>
  <c r="G75" i="1"/>
  <c r="G30" i="1"/>
  <c r="G26" i="1"/>
  <c r="G28" i="1"/>
  <c r="G35" i="1"/>
  <c r="G83" i="1"/>
  <c r="G80" i="1"/>
  <c r="G10" i="1"/>
  <c r="G12" i="1"/>
  <c r="G74" i="1"/>
  <c r="G49" i="1"/>
  <c r="G18" i="1"/>
  <c r="G47" i="1"/>
  <c r="G3" i="1"/>
  <c r="G56" i="1"/>
  <c r="G33" i="1"/>
  <c r="G44"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8" i="1"/>
  <c r="L79" i="1"/>
  <c r="L75" i="1"/>
  <c r="L76" i="1"/>
  <c r="L77" i="1"/>
  <c r="L80" i="1"/>
  <c r="L81" i="1"/>
  <c r="L82" i="1"/>
  <c r="L83" i="1"/>
  <c r="L84"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8" i="1"/>
  <c r="K79" i="1"/>
  <c r="K75" i="1"/>
  <c r="K76" i="1"/>
  <c r="K77" i="1"/>
  <c r="K80" i="1"/>
  <c r="K81" i="1"/>
  <c r="K82" i="1"/>
  <c r="K83" i="1"/>
  <c r="K84"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8" i="1"/>
  <c r="J79" i="1"/>
  <c r="J75" i="1"/>
  <c r="J76" i="1"/>
  <c r="J77" i="1"/>
  <c r="J80" i="1"/>
  <c r="J81" i="1"/>
  <c r="J82" i="1"/>
  <c r="J83" i="1"/>
  <c r="J84" i="1"/>
  <c r="L2" i="1"/>
  <c r="K2"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8" i="1"/>
  <c r="I79" i="1"/>
  <c r="I75" i="1"/>
  <c r="I76" i="1"/>
  <c r="I77" i="1"/>
  <c r="I80" i="1"/>
  <c r="I81" i="1"/>
  <c r="I82" i="1"/>
  <c r="I83" i="1"/>
  <c r="I84"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8" i="1"/>
  <c r="H79" i="1"/>
  <c r="H75" i="1"/>
  <c r="H76" i="1"/>
  <c r="H77" i="1"/>
  <c r="H80" i="1"/>
  <c r="H81" i="1"/>
  <c r="H82" i="1"/>
  <c r="H83" i="1"/>
  <c r="H84" i="1"/>
  <c r="H2" i="1"/>
  <c r="M70" i="1" l="1"/>
  <c r="M38" i="1"/>
  <c r="M6" i="1"/>
  <c r="M45" i="1"/>
  <c r="M13" i="1"/>
  <c r="M84" i="1"/>
  <c r="M52" i="1"/>
  <c r="M20" i="1"/>
  <c r="M78" i="1"/>
  <c r="M59" i="1"/>
  <c r="M43" i="1"/>
  <c r="M27" i="1"/>
  <c r="M11" i="1"/>
  <c r="M82" i="1"/>
  <c r="M74" i="1"/>
  <c r="M66" i="1"/>
  <c r="M58" i="1"/>
  <c r="M50" i="1"/>
  <c r="M42" i="1"/>
  <c r="M34" i="1"/>
  <c r="M26" i="1"/>
  <c r="M18" i="1"/>
  <c r="M10" i="1"/>
  <c r="M54" i="1"/>
  <c r="M22" i="1"/>
  <c r="M61" i="1"/>
  <c r="M29" i="1"/>
  <c r="M60" i="1"/>
  <c r="M28" i="1"/>
  <c r="M67" i="1"/>
  <c r="M51" i="1"/>
  <c r="M35" i="1"/>
  <c r="M19" i="1"/>
  <c r="M3" i="1"/>
  <c r="M81" i="1"/>
  <c r="M73" i="1"/>
  <c r="M65" i="1"/>
  <c r="M57" i="1"/>
  <c r="M49" i="1"/>
  <c r="M41" i="1"/>
  <c r="M33" i="1"/>
  <c r="M25" i="1"/>
  <c r="M17" i="1"/>
  <c r="M9" i="1"/>
  <c r="M76" i="1"/>
  <c r="M46" i="1"/>
  <c r="M14" i="1"/>
  <c r="M75" i="1"/>
  <c r="M53" i="1"/>
  <c r="M21" i="1"/>
  <c r="M2" i="1"/>
  <c r="M79" i="1"/>
  <c r="M44" i="1"/>
  <c r="M4" i="1"/>
  <c r="M80" i="1"/>
  <c r="M72" i="1"/>
  <c r="M64" i="1"/>
  <c r="M56" i="1"/>
  <c r="M48" i="1"/>
  <c r="M40" i="1"/>
  <c r="M32" i="1"/>
  <c r="M24" i="1"/>
  <c r="M16" i="1"/>
  <c r="M8" i="1"/>
  <c r="M62" i="1"/>
  <c r="M30" i="1"/>
  <c r="M69" i="1"/>
  <c r="M37" i="1"/>
  <c r="M5" i="1"/>
  <c r="M68" i="1"/>
  <c r="M36" i="1"/>
  <c r="M12" i="1"/>
  <c r="M83" i="1"/>
  <c r="M77" i="1"/>
  <c r="M71" i="1"/>
  <c r="M63" i="1"/>
  <c r="M55" i="1"/>
  <c r="M47" i="1"/>
  <c r="M39" i="1"/>
  <c r="M31" i="1"/>
  <c r="M23" i="1"/>
  <c r="M15" i="1"/>
  <c r="M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F64F85-2273-FE41-A985-B072EE9894CE}" keepAlive="1" name="Query - _xlnm Print_Area" description="Connection to the '_xlnm Print_Area' query in the workbook." type="5" refreshedVersion="8" background="1" saveData="1">
    <dbPr connection="Provider=Microsoft.Mashup.OleDb.1;Data Source=$Workbook$;Location=&quot;_xlnm Print_Area&quot;;Extended Properties=&quot;&quot;" command="SELECT * FROM [_xlnm Print_Area]"/>
  </connection>
  <connection id="2" xr16:uid="{8B803C82-4333-BD49-A6A5-D3D12A9A682E}" keepAlive="1" name="Query - Excel workbook" description="Connection to the 'Excel workbook' query in the workbook." type="5" refreshedVersion="0" background="1">
    <dbPr connection="Provider=Microsoft.Mashup.OleDb.1;Data Source=$Workbook$;Location=&quot;Excel workbook&quot;;Extended Properties=&quot;&quot;" command="SELECT * FROM [Excel workbook]"/>
  </connection>
  <connection id="3" xr16:uid="{04E538EA-AB92-2A4E-B805-BD68E716DD23}" keepAlive="1" name="Query - Excel workbook (2)" description="Connection to the 'Excel workbook (2)' query in the workbook." type="5" refreshedVersion="0" background="1">
    <dbPr connection="Provider=Microsoft.Mashup.OleDb.1;Data Source=$Workbook$;Location=&quot;Excel workbook (2)&quot;;Extended Properties=&quot;&quot;" command="SELECT * FROM [Excel workbook (2)]"/>
  </connection>
</connections>
</file>

<file path=xl/sharedStrings.xml><?xml version="1.0" encoding="utf-8"?>
<sst xmlns="http://schemas.openxmlformats.org/spreadsheetml/2006/main" count="214" uniqueCount="196">
  <si>
    <r>
      <t>.</t>
    </r>
    <r>
      <rPr>
        <sz val="11"/>
        <color theme="1"/>
        <rFont val="Calibri"/>
        <family val="2"/>
        <scheme val="minor"/>
      </rPr>
      <t>Alcona County, Michigan</t>
    </r>
  </si>
  <si>
    <r>
      <t>.</t>
    </r>
    <r>
      <rPr>
        <sz val="11"/>
        <color theme="1"/>
        <rFont val="Calibri"/>
        <family val="2"/>
        <scheme val="minor"/>
      </rPr>
      <t>Alger County, Michigan</t>
    </r>
  </si>
  <si>
    <r>
      <t>.</t>
    </r>
    <r>
      <rPr>
        <sz val="11"/>
        <color theme="1"/>
        <rFont val="Calibri"/>
        <family val="2"/>
        <scheme val="minor"/>
      </rPr>
      <t>Allegan County, Michigan</t>
    </r>
  </si>
  <si>
    <r>
      <t>.</t>
    </r>
    <r>
      <rPr>
        <sz val="11"/>
        <color theme="1"/>
        <rFont val="Calibri"/>
        <family val="2"/>
        <scheme val="minor"/>
      </rPr>
      <t>Alpena County, Michigan</t>
    </r>
  </si>
  <si>
    <r>
      <t>.</t>
    </r>
    <r>
      <rPr>
        <sz val="11"/>
        <color theme="1"/>
        <rFont val="Calibri"/>
        <family val="2"/>
        <scheme val="minor"/>
      </rPr>
      <t>Antrim County, Michigan</t>
    </r>
  </si>
  <si>
    <r>
      <t>.</t>
    </r>
    <r>
      <rPr>
        <sz val="11"/>
        <color theme="1"/>
        <rFont val="Calibri"/>
        <family val="2"/>
        <scheme val="minor"/>
      </rPr>
      <t>Arenac County, Michigan</t>
    </r>
  </si>
  <si>
    <r>
      <t>.</t>
    </r>
    <r>
      <rPr>
        <sz val="11"/>
        <color theme="1"/>
        <rFont val="Calibri"/>
        <family val="2"/>
        <scheme val="minor"/>
      </rPr>
      <t>Baraga County, Michigan</t>
    </r>
  </si>
  <si>
    <r>
      <t>.</t>
    </r>
    <r>
      <rPr>
        <sz val="11"/>
        <color theme="1"/>
        <rFont val="Calibri"/>
        <family val="2"/>
        <scheme val="minor"/>
      </rPr>
      <t>Barry County, Michigan</t>
    </r>
  </si>
  <si>
    <r>
      <t>.</t>
    </r>
    <r>
      <rPr>
        <sz val="11"/>
        <color theme="1"/>
        <rFont val="Calibri"/>
        <family val="2"/>
        <scheme val="minor"/>
      </rPr>
      <t>Bay County, Michigan</t>
    </r>
  </si>
  <si>
    <r>
      <t>.</t>
    </r>
    <r>
      <rPr>
        <sz val="11"/>
        <color theme="1"/>
        <rFont val="Calibri"/>
        <family val="2"/>
        <scheme val="minor"/>
      </rPr>
      <t>Benzie County, Michigan</t>
    </r>
  </si>
  <si>
    <r>
      <t>.</t>
    </r>
    <r>
      <rPr>
        <sz val="11"/>
        <color theme="1"/>
        <rFont val="Calibri"/>
        <family val="2"/>
        <scheme val="minor"/>
      </rPr>
      <t>Berrien County, Michigan</t>
    </r>
  </si>
  <si>
    <r>
      <t>.</t>
    </r>
    <r>
      <rPr>
        <sz val="11"/>
        <color theme="1"/>
        <rFont val="Calibri"/>
        <family val="2"/>
        <scheme val="minor"/>
      </rPr>
      <t>Branch County, Michigan</t>
    </r>
  </si>
  <si>
    <r>
      <t>.</t>
    </r>
    <r>
      <rPr>
        <sz val="11"/>
        <color theme="1"/>
        <rFont val="Calibri"/>
        <family val="2"/>
        <scheme val="minor"/>
      </rPr>
      <t>Calhoun County, Michigan</t>
    </r>
  </si>
  <si>
    <r>
      <t>.</t>
    </r>
    <r>
      <rPr>
        <sz val="11"/>
        <color theme="1"/>
        <rFont val="Calibri"/>
        <family val="2"/>
        <scheme val="minor"/>
      </rPr>
      <t>Cass County, Michigan</t>
    </r>
  </si>
  <si>
    <r>
      <t>.</t>
    </r>
    <r>
      <rPr>
        <sz val="11"/>
        <color theme="1"/>
        <rFont val="Calibri"/>
        <family val="2"/>
        <scheme val="minor"/>
      </rPr>
      <t>Charlevoix County, Michigan</t>
    </r>
  </si>
  <si>
    <r>
      <t>.</t>
    </r>
    <r>
      <rPr>
        <sz val="11"/>
        <color theme="1"/>
        <rFont val="Calibri"/>
        <family val="2"/>
        <scheme val="minor"/>
      </rPr>
      <t>Cheboygan County, Michigan</t>
    </r>
  </si>
  <si>
    <r>
      <t>.</t>
    </r>
    <r>
      <rPr>
        <sz val="11"/>
        <color theme="1"/>
        <rFont val="Calibri"/>
        <family val="2"/>
        <scheme val="minor"/>
      </rPr>
      <t>Chippewa County, Michigan</t>
    </r>
  </si>
  <si>
    <r>
      <t>.</t>
    </r>
    <r>
      <rPr>
        <sz val="11"/>
        <color theme="1"/>
        <rFont val="Calibri"/>
        <family val="2"/>
        <scheme val="minor"/>
      </rPr>
      <t>Clare County, Michigan</t>
    </r>
  </si>
  <si>
    <r>
      <t>.</t>
    </r>
    <r>
      <rPr>
        <sz val="11"/>
        <color theme="1"/>
        <rFont val="Calibri"/>
        <family val="2"/>
        <scheme val="minor"/>
      </rPr>
      <t>Clinton County, Michigan</t>
    </r>
  </si>
  <si>
    <r>
      <t>.</t>
    </r>
    <r>
      <rPr>
        <sz val="11"/>
        <color theme="1"/>
        <rFont val="Calibri"/>
        <family val="2"/>
        <scheme val="minor"/>
      </rPr>
      <t>Crawford County, Michigan</t>
    </r>
  </si>
  <si>
    <r>
      <t>.</t>
    </r>
    <r>
      <rPr>
        <sz val="11"/>
        <color theme="1"/>
        <rFont val="Calibri"/>
        <family val="2"/>
        <scheme val="minor"/>
      </rPr>
      <t>Delta County, Michigan</t>
    </r>
  </si>
  <si>
    <r>
      <t>.</t>
    </r>
    <r>
      <rPr>
        <sz val="11"/>
        <color theme="1"/>
        <rFont val="Calibri"/>
        <family val="2"/>
        <scheme val="minor"/>
      </rPr>
      <t>Dickinson County, Michigan</t>
    </r>
  </si>
  <si>
    <r>
      <t>.</t>
    </r>
    <r>
      <rPr>
        <sz val="11"/>
        <color theme="1"/>
        <rFont val="Calibri"/>
        <family val="2"/>
        <scheme val="minor"/>
      </rPr>
      <t>Eaton County, Michigan</t>
    </r>
  </si>
  <si>
    <r>
      <t>.</t>
    </r>
    <r>
      <rPr>
        <sz val="11"/>
        <color theme="1"/>
        <rFont val="Calibri"/>
        <family val="2"/>
        <scheme val="minor"/>
      </rPr>
      <t>Emmet County, Michigan</t>
    </r>
  </si>
  <si>
    <r>
      <t>.</t>
    </r>
    <r>
      <rPr>
        <sz val="11"/>
        <color theme="1"/>
        <rFont val="Calibri"/>
        <family val="2"/>
        <scheme val="minor"/>
      </rPr>
      <t>Genesee County, Michigan</t>
    </r>
  </si>
  <si>
    <r>
      <t>.</t>
    </r>
    <r>
      <rPr>
        <sz val="11"/>
        <color theme="1"/>
        <rFont val="Calibri"/>
        <family val="2"/>
        <scheme val="minor"/>
      </rPr>
      <t>Gladwin County, Michigan</t>
    </r>
  </si>
  <si>
    <r>
      <t>.</t>
    </r>
    <r>
      <rPr>
        <sz val="11"/>
        <color theme="1"/>
        <rFont val="Calibri"/>
        <family val="2"/>
        <scheme val="minor"/>
      </rPr>
      <t>Gogebic County, Michigan</t>
    </r>
  </si>
  <si>
    <r>
      <t>.</t>
    </r>
    <r>
      <rPr>
        <sz val="11"/>
        <color theme="1"/>
        <rFont val="Calibri"/>
        <family val="2"/>
        <scheme val="minor"/>
      </rPr>
      <t>Grand Traverse County, Michigan</t>
    </r>
  </si>
  <si>
    <r>
      <t>.</t>
    </r>
    <r>
      <rPr>
        <sz val="11"/>
        <color theme="1"/>
        <rFont val="Calibri"/>
        <family val="2"/>
        <scheme val="minor"/>
      </rPr>
      <t>Gratiot County, Michigan</t>
    </r>
  </si>
  <si>
    <r>
      <t>.</t>
    </r>
    <r>
      <rPr>
        <sz val="11"/>
        <color theme="1"/>
        <rFont val="Calibri"/>
        <family val="2"/>
        <scheme val="minor"/>
      </rPr>
      <t>Hillsdale County, Michigan</t>
    </r>
  </si>
  <si>
    <r>
      <t>.</t>
    </r>
    <r>
      <rPr>
        <sz val="11"/>
        <color theme="1"/>
        <rFont val="Calibri"/>
        <family val="2"/>
        <scheme val="minor"/>
      </rPr>
      <t>Houghton County, Michigan</t>
    </r>
  </si>
  <si>
    <r>
      <t>.</t>
    </r>
    <r>
      <rPr>
        <sz val="11"/>
        <color theme="1"/>
        <rFont val="Calibri"/>
        <family val="2"/>
        <scheme val="minor"/>
      </rPr>
      <t>Huron County, Michigan</t>
    </r>
  </si>
  <si>
    <r>
      <t>.</t>
    </r>
    <r>
      <rPr>
        <sz val="11"/>
        <color theme="1"/>
        <rFont val="Calibri"/>
        <family val="2"/>
        <scheme val="minor"/>
      </rPr>
      <t>Ingham County, Michigan</t>
    </r>
  </si>
  <si>
    <r>
      <t>.</t>
    </r>
    <r>
      <rPr>
        <sz val="11"/>
        <color theme="1"/>
        <rFont val="Calibri"/>
        <family val="2"/>
        <scheme val="minor"/>
      </rPr>
      <t>Ionia County, Michigan</t>
    </r>
  </si>
  <si>
    <r>
      <t>.</t>
    </r>
    <r>
      <rPr>
        <sz val="11"/>
        <color theme="1"/>
        <rFont val="Calibri"/>
        <family val="2"/>
        <scheme val="minor"/>
      </rPr>
      <t>Iosco County, Michigan</t>
    </r>
  </si>
  <si>
    <r>
      <t>.</t>
    </r>
    <r>
      <rPr>
        <sz val="11"/>
        <color theme="1"/>
        <rFont val="Calibri"/>
        <family val="2"/>
        <scheme val="minor"/>
      </rPr>
      <t>Iron County, Michigan</t>
    </r>
  </si>
  <si>
    <r>
      <t>.</t>
    </r>
    <r>
      <rPr>
        <sz val="11"/>
        <color theme="1"/>
        <rFont val="Calibri"/>
        <family val="2"/>
        <scheme val="minor"/>
      </rPr>
      <t>Isabella County, Michigan</t>
    </r>
  </si>
  <si>
    <r>
      <t>.</t>
    </r>
    <r>
      <rPr>
        <sz val="11"/>
        <color theme="1"/>
        <rFont val="Calibri"/>
        <family val="2"/>
        <scheme val="minor"/>
      </rPr>
      <t>Jackson County, Michigan</t>
    </r>
  </si>
  <si>
    <r>
      <t>.</t>
    </r>
    <r>
      <rPr>
        <sz val="11"/>
        <color theme="1"/>
        <rFont val="Calibri"/>
        <family val="2"/>
        <scheme val="minor"/>
      </rPr>
      <t>Kalamazoo County, Michigan</t>
    </r>
  </si>
  <si>
    <r>
      <t>.</t>
    </r>
    <r>
      <rPr>
        <sz val="11"/>
        <color theme="1"/>
        <rFont val="Calibri"/>
        <family val="2"/>
        <scheme val="minor"/>
      </rPr>
      <t>Kalkaska County, Michigan</t>
    </r>
  </si>
  <si>
    <r>
      <t>.</t>
    </r>
    <r>
      <rPr>
        <sz val="11"/>
        <color theme="1"/>
        <rFont val="Calibri"/>
        <family val="2"/>
        <scheme val="minor"/>
      </rPr>
      <t>Kent County, Michigan</t>
    </r>
  </si>
  <si>
    <r>
      <t>.</t>
    </r>
    <r>
      <rPr>
        <sz val="11"/>
        <color theme="1"/>
        <rFont val="Calibri"/>
        <family val="2"/>
        <scheme val="minor"/>
      </rPr>
      <t>Keweenaw County, Michigan</t>
    </r>
  </si>
  <si>
    <r>
      <t>.</t>
    </r>
    <r>
      <rPr>
        <sz val="11"/>
        <color theme="1"/>
        <rFont val="Calibri"/>
        <family val="2"/>
        <scheme val="minor"/>
      </rPr>
      <t>Lake County, Michigan</t>
    </r>
  </si>
  <si>
    <r>
      <t>.</t>
    </r>
    <r>
      <rPr>
        <sz val="11"/>
        <color theme="1"/>
        <rFont val="Calibri"/>
        <family val="2"/>
        <scheme val="minor"/>
      </rPr>
      <t>Lapeer County, Michigan</t>
    </r>
  </si>
  <si>
    <r>
      <t>.</t>
    </r>
    <r>
      <rPr>
        <sz val="11"/>
        <color theme="1"/>
        <rFont val="Calibri"/>
        <family val="2"/>
        <scheme val="minor"/>
      </rPr>
      <t>Leelanau County, Michigan</t>
    </r>
  </si>
  <si>
    <r>
      <t>.</t>
    </r>
    <r>
      <rPr>
        <sz val="11"/>
        <color theme="1"/>
        <rFont val="Calibri"/>
        <family val="2"/>
        <scheme val="minor"/>
      </rPr>
      <t>Lenawee County, Michigan</t>
    </r>
  </si>
  <si>
    <r>
      <t>.</t>
    </r>
    <r>
      <rPr>
        <sz val="11"/>
        <color theme="1"/>
        <rFont val="Calibri"/>
        <family val="2"/>
        <scheme val="minor"/>
      </rPr>
      <t>Livingston County, Michigan</t>
    </r>
  </si>
  <si>
    <r>
      <t>.</t>
    </r>
    <r>
      <rPr>
        <sz val="11"/>
        <color theme="1"/>
        <rFont val="Calibri"/>
        <family val="2"/>
        <scheme val="minor"/>
      </rPr>
      <t>Luce County, Michigan</t>
    </r>
  </si>
  <si>
    <r>
      <t>.</t>
    </r>
    <r>
      <rPr>
        <sz val="11"/>
        <color theme="1"/>
        <rFont val="Calibri"/>
        <family val="2"/>
        <scheme val="minor"/>
      </rPr>
      <t>Mackinac County, Michigan</t>
    </r>
  </si>
  <si>
    <r>
      <t>.</t>
    </r>
    <r>
      <rPr>
        <sz val="11"/>
        <color theme="1"/>
        <rFont val="Calibri"/>
        <family val="2"/>
        <scheme val="minor"/>
      </rPr>
      <t>Macomb County, Michigan</t>
    </r>
  </si>
  <si>
    <r>
      <t>.</t>
    </r>
    <r>
      <rPr>
        <sz val="11"/>
        <color theme="1"/>
        <rFont val="Calibri"/>
        <family val="2"/>
        <scheme val="minor"/>
      </rPr>
      <t>Manistee County, Michigan</t>
    </r>
  </si>
  <si>
    <r>
      <t>.</t>
    </r>
    <r>
      <rPr>
        <sz val="11"/>
        <color theme="1"/>
        <rFont val="Calibri"/>
        <family val="2"/>
        <scheme val="minor"/>
      </rPr>
      <t>Marquette County, Michigan</t>
    </r>
  </si>
  <si>
    <r>
      <t>.</t>
    </r>
    <r>
      <rPr>
        <sz val="11"/>
        <color theme="1"/>
        <rFont val="Calibri"/>
        <family val="2"/>
        <scheme val="minor"/>
      </rPr>
      <t>Mason County, Michigan</t>
    </r>
  </si>
  <si>
    <r>
      <t>.</t>
    </r>
    <r>
      <rPr>
        <sz val="11"/>
        <color theme="1"/>
        <rFont val="Calibri"/>
        <family val="2"/>
        <scheme val="minor"/>
      </rPr>
      <t>Mecosta County, Michigan</t>
    </r>
  </si>
  <si>
    <r>
      <t>.</t>
    </r>
    <r>
      <rPr>
        <sz val="11"/>
        <color theme="1"/>
        <rFont val="Calibri"/>
        <family val="2"/>
        <scheme val="minor"/>
      </rPr>
      <t>Menominee County, Michigan</t>
    </r>
  </si>
  <si>
    <r>
      <t>.</t>
    </r>
    <r>
      <rPr>
        <sz val="11"/>
        <color theme="1"/>
        <rFont val="Calibri"/>
        <family val="2"/>
        <scheme val="minor"/>
      </rPr>
      <t>Midland County, Michigan</t>
    </r>
  </si>
  <si>
    <r>
      <t>.</t>
    </r>
    <r>
      <rPr>
        <sz val="11"/>
        <color theme="1"/>
        <rFont val="Calibri"/>
        <family val="2"/>
        <scheme val="minor"/>
      </rPr>
      <t>Missaukee County, Michigan</t>
    </r>
  </si>
  <si>
    <r>
      <t>.</t>
    </r>
    <r>
      <rPr>
        <sz val="11"/>
        <color theme="1"/>
        <rFont val="Calibri"/>
        <family val="2"/>
        <scheme val="minor"/>
      </rPr>
      <t>Monroe County, Michigan</t>
    </r>
  </si>
  <si>
    <r>
      <t>.</t>
    </r>
    <r>
      <rPr>
        <sz val="11"/>
        <color theme="1"/>
        <rFont val="Calibri"/>
        <family val="2"/>
        <scheme val="minor"/>
      </rPr>
      <t>Montcalm County, Michigan</t>
    </r>
  </si>
  <si>
    <r>
      <t>.</t>
    </r>
    <r>
      <rPr>
        <sz val="11"/>
        <color theme="1"/>
        <rFont val="Calibri"/>
        <family val="2"/>
        <scheme val="minor"/>
      </rPr>
      <t>Montmorency County, Michigan</t>
    </r>
  </si>
  <si>
    <r>
      <t>.</t>
    </r>
    <r>
      <rPr>
        <sz val="11"/>
        <color theme="1"/>
        <rFont val="Calibri"/>
        <family val="2"/>
        <scheme val="minor"/>
      </rPr>
      <t>Muskegon County, Michigan</t>
    </r>
  </si>
  <si>
    <r>
      <t>.</t>
    </r>
    <r>
      <rPr>
        <sz val="11"/>
        <color theme="1"/>
        <rFont val="Calibri"/>
        <family val="2"/>
        <scheme val="minor"/>
      </rPr>
      <t>Newaygo County, Michigan</t>
    </r>
  </si>
  <si>
    <r>
      <t>.</t>
    </r>
    <r>
      <rPr>
        <sz val="11"/>
        <color theme="1"/>
        <rFont val="Calibri"/>
        <family val="2"/>
        <scheme val="minor"/>
      </rPr>
      <t>Oakland County, Michigan</t>
    </r>
  </si>
  <si>
    <r>
      <t>.</t>
    </r>
    <r>
      <rPr>
        <sz val="11"/>
        <color theme="1"/>
        <rFont val="Calibri"/>
        <family val="2"/>
        <scheme val="minor"/>
      </rPr>
      <t>Oceana County, Michigan</t>
    </r>
  </si>
  <si>
    <r>
      <t>.</t>
    </r>
    <r>
      <rPr>
        <sz val="11"/>
        <color theme="1"/>
        <rFont val="Calibri"/>
        <family val="2"/>
        <scheme val="minor"/>
      </rPr>
      <t>Ogemaw County, Michigan</t>
    </r>
  </si>
  <si>
    <r>
      <t>.</t>
    </r>
    <r>
      <rPr>
        <sz val="11"/>
        <color theme="1"/>
        <rFont val="Calibri"/>
        <family val="2"/>
        <scheme val="minor"/>
      </rPr>
      <t>Ontonagon County, Michigan</t>
    </r>
  </si>
  <si>
    <r>
      <t>.</t>
    </r>
    <r>
      <rPr>
        <sz val="11"/>
        <color theme="1"/>
        <rFont val="Calibri"/>
        <family val="2"/>
        <scheme val="minor"/>
      </rPr>
      <t>Osceola County, Michigan</t>
    </r>
  </si>
  <si>
    <r>
      <t>.</t>
    </r>
    <r>
      <rPr>
        <sz val="11"/>
        <color theme="1"/>
        <rFont val="Calibri"/>
        <family val="2"/>
        <scheme val="minor"/>
      </rPr>
      <t>Oscoda County, Michigan</t>
    </r>
  </si>
  <si>
    <r>
      <t>.</t>
    </r>
    <r>
      <rPr>
        <sz val="11"/>
        <color theme="1"/>
        <rFont val="Calibri"/>
        <family val="2"/>
        <scheme val="minor"/>
      </rPr>
      <t>Otsego County, Michigan</t>
    </r>
  </si>
  <si>
    <r>
      <t>.</t>
    </r>
    <r>
      <rPr>
        <sz val="11"/>
        <color theme="1"/>
        <rFont val="Calibri"/>
        <family val="2"/>
        <scheme val="minor"/>
      </rPr>
      <t>Ottawa County, Michigan</t>
    </r>
  </si>
  <si>
    <r>
      <t>.</t>
    </r>
    <r>
      <rPr>
        <sz val="11"/>
        <color theme="1"/>
        <rFont val="Calibri"/>
        <family val="2"/>
        <scheme val="minor"/>
      </rPr>
      <t>Presque Isle County, Michigan</t>
    </r>
  </si>
  <si>
    <r>
      <t>.</t>
    </r>
    <r>
      <rPr>
        <sz val="11"/>
        <color theme="1"/>
        <rFont val="Calibri"/>
        <family val="2"/>
        <scheme val="minor"/>
      </rPr>
      <t>Roscommon County, Michigan</t>
    </r>
  </si>
  <si>
    <r>
      <t>.</t>
    </r>
    <r>
      <rPr>
        <sz val="11"/>
        <color theme="1"/>
        <rFont val="Calibri"/>
        <family val="2"/>
        <scheme val="minor"/>
      </rPr>
      <t>Saginaw County, Michigan</t>
    </r>
  </si>
  <si>
    <r>
      <t>.</t>
    </r>
    <r>
      <rPr>
        <sz val="11"/>
        <color theme="1"/>
        <rFont val="Calibri"/>
        <family val="2"/>
        <scheme val="minor"/>
      </rPr>
      <t>St. Clair County, Michigan</t>
    </r>
  </si>
  <si>
    <r>
      <t>.</t>
    </r>
    <r>
      <rPr>
        <sz val="11"/>
        <color theme="1"/>
        <rFont val="Calibri"/>
        <family val="2"/>
        <scheme val="minor"/>
      </rPr>
      <t>St. Joseph County, Michigan</t>
    </r>
  </si>
  <si>
    <r>
      <t>.</t>
    </r>
    <r>
      <rPr>
        <sz val="11"/>
        <color theme="1"/>
        <rFont val="Calibri"/>
        <family val="2"/>
        <scheme val="minor"/>
      </rPr>
      <t>Sanilac County, Michigan</t>
    </r>
  </si>
  <si>
    <r>
      <t>.</t>
    </r>
    <r>
      <rPr>
        <sz val="11"/>
        <color theme="1"/>
        <rFont val="Calibri"/>
        <family val="2"/>
        <scheme val="minor"/>
      </rPr>
      <t>Schoolcraft County, Michigan</t>
    </r>
  </si>
  <si>
    <r>
      <t>.</t>
    </r>
    <r>
      <rPr>
        <sz val="11"/>
        <color theme="1"/>
        <rFont val="Calibri"/>
        <family val="2"/>
        <scheme val="minor"/>
      </rPr>
      <t>Shiawassee County, Michigan</t>
    </r>
  </si>
  <si>
    <r>
      <t>.</t>
    </r>
    <r>
      <rPr>
        <sz val="11"/>
        <color theme="1"/>
        <rFont val="Calibri"/>
        <family val="2"/>
        <scheme val="minor"/>
      </rPr>
      <t>Tuscola County, Michigan</t>
    </r>
  </si>
  <si>
    <r>
      <t>.</t>
    </r>
    <r>
      <rPr>
        <sz val="11"/>
        <color theme="1"/>
        <rFont val="Calibri"/>
        <family val="2"/>
        <scheme val="minor"/>
      </rPr>
      <t>Van Buren County, Michigan</t>
    </r>
  </si>
  <si>
    <r>
      <t>.</t>
    </r>
    <r>
      <rPr>
        <sz val="11"/>
        <color theme="1"/>
        <rFont val="Calibri"/>
        <family val="2"/>
        <scheme val="minor"/>
      </rPr>
      <t>Washtenaw County, Michigan</t>
    </r>
  </si>
  <si>
    <r>
      <t>.</t>
    </r>
    <r>
      <rPr>
        <sz val="11"/>
        <color theme="1"/>
        <rFont val="Calibri"/>
        <family val="2"/>
        <scheme val="minor"/>
      </rPr>
      <t>Wayne County, Michigan</t>
    </r>
  </si>
  <si>
    <r>
      <t>.</t>
    </r>
    <r>
      <rPr>
        <sz val="11"/>
        <color theme="1"/>
        <rFont val="Calibri"/>
        <family val="2"/>
        <scheme val="minor"/>
      </rPr>
      <t>Wexford County, Michigan</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</si>
  <si>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</si>
  <si>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 The estimates are developed from a base that integrates the 2020 Census, Vintage 2020 estimates, and 2020 Demographic Analysis estimates.  For population estimates methodology statements, see https://www.census.gov/programs-surveys/popest/technical-documentation/methodology.html. All geographic boundaries for the 2024 population estimates series are as of January 1, 2024.</t>
  </si>
  <si>
    <t>Suggested Citation:</t>
  </si>
  <si>
    <t>Annual Estimates of the Resident Population for Counties in Michigan: April 1, 2020 to July 1, 2024 (CO-EST2024-POP-26)</t>
  </si>
  <si>
    <t>Source: U.S. Census Bureau, Population Division</t>
  </si>
  <si>
    <t>Release Date: March 2025</t>
  </si>
  <si>
    <t>Demographic area</t>
  </si>
  <si>
    <t>Column1</t>
  </si>
  <si>
    <t>Column2</t>
  </si>
  <si>
    <t>Column3</t>
  </si>
  <si>
    <t>Column4</t>
  </si>
  <si>
    <t>Column5</t>
  </si>
  <si>
    <t>Column6</t>
  </si>
  <si>
    <t>Demographic Area</t>
  </si>
  <si>
    <t>.Alcona County, Michigan</t>
  </si>
  <si>
    <t>.Alger County, Michigan</t>
  </si>
  <si>
    <t>.Allegan County, Michigan</t>
  </si>
  <si>
    <t>.Alpena County, Michigan</t>
  </si>
  <si>
    <t>.Antrim County, Michigan</t>
  </si>
  <si>
    <t>.Arenac County, Michigan</t>
  </si>
  <si>
    <t>.Baraga County, Michigan</t>
  </si>
  <si>
    <t>.Barry County, Michigan</t>
  </si>
  <si>
    <t>.Bay County, Michigan</t>
  </si>
  <si>
    <t>.Benzie County, Michigan</t>
  </si>
  <si>
    <t>.Berrien County, Michigan</t>
  </si>
  <si>
    <t>.Branch County, Michigan</t>
  </si>
  <si>
    <t>.Calhoun County, Michigan</t>
  </si>
  <si>
    <t>.Cass County, Michigan</t>
  </si>
  <si>
    <t>.Charlevoix County, Michigan</t>
  </si>
  <si>
    <t>.Cheboygan County, Michigan</t>
  </si>
  <si>
    <t>.Chippewa County, Michigan</t>
  </si>
  <si>
    <t>.Clare County, Michigan</t>
  </si>
  <si>
    <t>.Clinton County, Michigan</t>
  </si>
  <si>
    <t>.Crawford County, Michigan</t>
  </si>
  <si>
    <t>.Delta County, Michigan</t>
  </si>
  <si>
    <t>.Dickinson County, Michigan</t>
  </si>
  <si>
    <t>.Eaton County, Michigan</t>
  </si>
  <si>
    <t>.Emmet County, Michigan</t>
  </si>
  <si>
    <t>.Genesee County, Michigan</t>
  </si>
  <si>
    <t>.Gladwin County, Michigan</t>
  </si>
  <si>
    <t>.Gogebic County, Michigan</t>
  </si>
  <si>
    <t>.Grand Traverse County, Michigan</t>
  </si>
  <si>
    <t>.Gratiot County, Michigan</t>
  </si>
  <si>
    <t>.Hillsdale County, Michigan</t>
  </si>
  <si>
    <t>.Houghton County, Michigan</t>
  </si>
  <si>
    <t>.Huron County, Michigan</t>
  </si>
  <si>
    <t>.Ingham County, Michigan</t>
  </si>
  <si>
    <t>.Ionia County, Michigan</t>
  </si>
  <si>
    <t>.Iosco County, Michigan</t>
  </si>
  <si>
    <t>.Iron County, Michigan</t>
  </si>
  <si>
    <t>.Isabella County, Michigan</t>
  </si>
  <si>
    <t>.Jackson County, Michigan</t>
  </si>
  <si>
    <t>.Kalamazoo County, Michigan</t>
  </si>
  <si>
    <t>.Kalkaska County, Michigan</t>
  </si>
  <si>
    <t>.Kent County, Michigan</t>
  </si>
  <si>
    <t>.Keweenaw County, Michigan</t>
  </si>
  <si>
    <t>.Lake County, Michigan</t>
  </si>
  <si>
    <t>.Lapeer County, Michigan</t>
  </si>
  <si>
    <t>.Leelanau County, Michigan</t>
  </si>
  <si>
    <t>.Lenawee County, Michigan</t>
  </si>
  <si>
    <t>.Livingston County, Michigan</t>
  </si>
  <si>
    <t>.Luce County, Michigan</t>
  </si>
  <si>
    <t>.Mackinac County, Michigan</t>
  </si>
  <si>
    <t>.Macomb County, Michigan</t>
  </si>
  <si>
    <t>.Manistee County, Michigan</t>
  </si>
  <si>
    <t>.Marquette County, Michigan</t>
  </si>
  <si>
    <t>.Mason County, Michigan</t>
  </si>
  <si>
    <t>.Mecosta County, Michigan</t>
  </si>
  <si>
    <t>.Menominee County, Michigan</t>
  </si>
  <si>
    <t>.Midland County, Michigan</t>
  </si>
  <si>
    <t>.Missaukee County, Michigan</t>
  </si>
  <si>
    <t>.Monroe County, Michigan</t>
  </si>
  <si>
    <t>.Montcalm County, Michigan</t>
  </si>
  <si>
    <t>.Montmorency County, Michigan</t>
  </si>
  <si>
    <t>.Muskegon County, Michigan</t>
  </si>
  <si>
    <t>.Newaygo County, Michigan</t>
  </si>
  <si>
    <t>.Oakland County, Michigan</t>
  </si>
  <si>
    <t>.Oceana County, Michigan</t>
  </si>
  <si>
    <t>.Ogemaw County, Michigan</t>
  </si>
  <si>
    <t>.Ontonagon County, Michigan</t>
  </si>
  <si>
    <t>.Osceola County, Michigan</t>
  </si>
  <si>
    <t>.Oscoda County, Michigan</t>
  </si>
  <si>
    <t>.Otsego County, Michigan</t>
  </si>
  <si>
    <t>.Ottawa County, Michigan</t>
  </si>
  <si>
    <t>.Presque Isle County, Michigan</t>
  </si>
  <si>
    <t>.Roscommon County, Michigan</t>
  </si>
  <si>
    <t>.Saginaw County, Michigan</t>
  </si>
  <si>
    <t>.Sanilac County, Michigan</t>
  </si>
  <si>
    <t>.Schoolcraft County, Michigan</t>
  </si>
  <si>
    <t>.Shiawassee County, Michigan</t>
  </si>
  <si>
    <t>.St. Clair County, Michigan</t>
  </si>
  <si>
    <t>.St. Joseph County, Michigan</t>
  </si>
  <si>
    <t>.Tuscola County, Michigan</t>
  </si>
  <si>
    <t>.Van Buren County, Michigan</t>
  </si>
  <si>
    <t>.Washtenaw County, Michigan</t>
  </si>
  <si>
    <t>.Wayne County, Michigan</t>
  </si>
  <si>
    <t>.Wexford County, Michigan</t>
  </si>
  <si>
    <t>Total</t>
  </si>
  <si>
    <t>Housing 2020</t>
  </si>
  <si>
    <t>Housing 2021</t>
  </si>
  <si>
    <t>Housing 2022</t>
  </si>
  <si>
    <t>Housing 2023</t>
  </si>
  <si>
    <t>Housing 2024</t>
  </si>
  <si>
    <t>Population Growth 2020 to 2024</t>
  </si>
  <si>
    <t>Housing Growth 2020 to 2024</t>
  </si>
  <si>
    <t>Sum of Population Growth 2020 to 2024</t>
  </si>
  <si>
    <t>Sum of Housing Growth 2020 to 2024</t>
  </si>
  <si>
    <t>Row Labels</t>
  </si>
  <si>
    <t>Grand Total</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</si>
  <si>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</si>
  <si>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http://www.census.gov/programs-surveys/popest/technical-documentation/methodology.html.  </t>
  </si>
  <si>
    <t>Annual Estimates of Housing Units for Counties in Michigan: April 1, 2020 to July 1, 2024 (CO-EST2024-HU-26)</t>
  </si>
  <si>
    <t>Release Date: May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</si>
</sst>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indexed="9"/>
      <name val="Calibri"/>
      <family val="2"/>
      <scheme val="minor"/>
    </font>
    <font>
      <sz val="8"/>
      <name val="arial"/>
      <family val="2"/>
    </font>
    <font>
      <b/>
      <sz val="8"/>
      <color theme="1"/>
      <name val="arial"/>
      <family val="2"/>
    </font>
    <font>
      <sz val="11"/>
      <color theme="1"/>
      <name val="Calibri"/>
      <family val="2"/>
      <scheme val="minor"/>
    </font>
    <font>
      <sz val="8"/>
      <name val="Calibri"/>
      <family val="2"/>
      <scheme val="minor"/>
    </font>
  </fonts>
  <fills count="3">
    <fill>
      <patternFill patternType="none"/>
    </fill>
    <fill>
      <patternFill patternType="gray125"/>
    </fill>
    <fill>
      <patternFill patternType="solid">
        <fgColor indexed="43"/>
        <bgColor indexed="64"/>
      </patternFill>
    </fill>
  </fills>
  <borders count="15">
    <border>
      <left/>
      <right/>
      <top/>
      <bottom/>
      <diagonal/>
    </border>
    <border>
      <left/>
      <right/>
      <top style="thin">
        <color indexed="64"/>
      </top>
      <bottom/>
      <diagonal/>
    </border>
    <border>
      <left/>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2">
    <xf numFmtId="0" fontId="0" fillId="0" borderId="0"/>
    <xf numFmtId="9" fontId="5" fillId="0" borderId="0" applyFont="0" applyFill="0" applyBorder="0" applyAlignment="0" applyProtection="0"/>
  </cellStyleXfs>
  <cellXfs count="42">
    <xf numFmtId="0" fontId="0" fillId="0" borderId="0" xfId="0"/>
    <xf numFmtId="0" fontId="0" fillId="0" borderId="0" xfId="0" applyProtection="1">
      <protection locked="0"/>
    </xf>
    <xf numFmtId="0" fontId="1" fillId="0" borderId="0" xfId="0" applyFont="1" applyAlignment="1" applyProtection="1">
      <alignment horizontal="center" vertical="center"/>
      <protection locked="0"/>
    </xf>
    <xf numFmtId="0" fontId="2" fillId="0" borderId="14" xfId="0" applyFont="1" applyBorder="1" applyProtection="1">
      <protection locked="0"/>
    </xf>
    <xf numFmtId="3" fontId="0" fillId="0" borderId="14" xfId="0" applyNumberFormat="1" applyBorder="1" applyAlignment="1" applyProtection="1">
      <alignment horizontal="right"/>
      <protection locked="0"/>
    </xf>
    <xf numFmtId="0" fontId="2" fillId="0" borderId="13" xfId="0" applyFont="1" applyBorder="1" applyProtection="1">
      <protection locked="0"/>
    </xf>
    <xf numFmtId="3" fontId="0" fillId="0" borderId="13" xfId="0" applyNumberFormat="1" applyBorder="1" applyAlignment="1" applyProtection="1">
      <alignment horizontal="right"/>
      <protection locked="0"/>
    </xf>
    <xf numFmtId="0" fontId="3" fillId="0" borderId="5" xfId="0" applyFont="1" applyBorder="1" applyAlignment="1" applyProtection="1">
      <alignment wrapText="1"/>
      <protection locked="0"/>
    </xf>
    <xf numFmtId="0" fontId="3" fillId="0" borderId="2" xfId="0" applyFont="1" applyBorder="1" applyAlignment="1">
      <alignment wrapText="1"/>
    </xf>
    <xf numFmtId="0" fontId="3" fillId="0" borderId="10" xfId="0" applyFont="1" applyBorder="1" applyAlignment="1">
      <alignment wrapText="1"/>
    </xf>
    <xf numFmtId="0" fontId="4" fillId="2" borderId="4" xfId="0" applyFont="1" applyFill="1" applyBorder="1" applyProtection="1">
      <protection locked="0"/>
    </xf>
    <xf numFmtId="0" fontId="4" fillId="2" borderId="1" xfId="0" applyFont="1" applyFill="1" applyBorder="1"/>
    <xf numFmtId="0" fontId="4" fillId="2" borderId="9" xfId="0" applyFont="1" applyFill="1" applyBorder="1"/>
    <xf numFmtId="0" fontId="4" fillId="2" borderId="3" xfId="0" applyFont="1" applyFill="1" applyBorder="1" applyAlignment="1" applyProtection="1">
      <alignment wrapText="1"/>
      <protection locked="0"/>
    </xf>
    <xf numFmtId="0" fontId="4" fillId="2" borderId="0" xfId="0" applyFont="1" applyFill="1"/>
    <xf numFmtId="0" fontId="4" fillId="2" borderId="11" xfId="0" applyFont="1" applyFill="1" applyBorder="1"/>
    <xf numFmtId="0" fontId="4" fillId="2" borderId="6" xfId="0" applyFont="1" applyFill="1" applyBorder="1" applyProtection="1">
      <protection locked="0"/>
    </xf>
    <xf numFmtId="0" fontId="4" fillId="2" borderId="7" xfId="0" applyFont="1" applyFill="1" applyBorder="1"/>
    <xf numFmtId="0" fontId="4" fillId="2" borderId="12" xfId="0" applyFont="1" applyFill="1" applyBorder="1"/>
    <xf numFmtId="0" fontId="1" fillId="0" borderId="8" xfId="0" applyFont="1" applyBorder="1" applyAlignment="1" applyProtection="1">
      <alignment horizontal="center" vertical="center" shrinkToFit="1"/>
      <protection locked="0"/>
    </xf>
    <xf numFmtId="0" fontId="1" fillId="0" borderId="13" xfId="0" applyFont="1" applyBorder="1" applyAlignment="1" applyProtection="1">
      <alignment horizontal="center" vertical="center"/>
      <protection locked="0"/>
    </xf>
    <xf numFmtId="0" fontId="3" fillId="0" borderId="2" xfId="0" applyFont="1" applyBorder="1" applyAlignment="1" applyProtection="1">
      <alignment wrapText="1"/>
      <protection locked="0"/>
    </xf>
    <xf numFmtId="0" fontId="3" fillId="0" borderId="10" xfId="0" applyFont="1" applyBorder="1" applyAlignment="1" applyProtection="1">
      <alignment wrapText="1"/>
      <protection locked="0"/>
    </xf>
    <xf numFmtId="0" fontId="4" fillId="2" borderId="7" xfId="0" applyFont="1" applyFill="1" applyBorder="1" applyProtection="1">
      <protection locked="0"/>
    </xf>
    <xf numFmtId="0" fontId="4" fillId="2" borderId="12" xfId="0" applyFont="1" applyFill="1" applyBorder="1" applyProtection="1">
      <protection locked="0"/>
    </xf>
    <xf numFmtId="0" fontId="4" fillId="2" borderId="0" xfId="0" applyFont="1" applyFill="1" applyBorder="1" applyAlignment="1" applyProtection="1">
      <alignment wrapText="1"/>
      <protection locked="0"/>
    </xf>
    <xf numFmtId="0" fontId="4" fillId="2" borderId="11" xfId="0" applyFont="1" applyFill="1" applyBorder="1" applyAlignment="1" applyProtection="1">
      <alignment wrapText="1"/>
      <protection locked="0"/>
    </xf>
    <xf numFmtId="0" fontId="4" fillId="2" borderId="1" xfId="0" applyFont="1" applyFill="1" applyBorder="1" applyProtection="1">
      <protection locked="0"/>
    </xf>
    <xf numFmtId="0" fontId="4" fillId="2" borderId="9" xfId="0" applyFont="1" applyFill="1" applyBorder="1" applyProtection="1">
      <protection locked="0"/>
    </xf>
    <xf numFmtId="0" fontId="4" fillId="2" borderId="0" xfId="0" applyFont="1" applyFill="1" applyBorder="1" applyAlignment="1" applyProtection="1">
      <alignment wrapText="1"/>
      <protection locked="0"/>
    </xf>
    <xf numFmtId="0" fontId="0" fillId="0" borderId="0" xfId="0" applyNumberFormat="1"/>
    <xf numFmtId="0" fontId="3" fillId="0" borderId="0" xfId="0" applyFont="1" applyBorder="1" applyAlignment="1" applyProtection="1">
      <alignment wrapText="1"/>
      <protection locked="0"/>
    </xf>
    <xf numFmtId="0" fontId="4" fillId="2" borderId="0" xfId="0" applyFont="1" applyFill="1" applyBorder="1" applyProtection="1">
      <protection locked="0"/>
    </xf>
    <xf numFmtId="9" fontId="0" fillId="0" borderId="0" xfId="1" applyFont="1" applyBorder="1" applyAlignment="1" applyProtection="1">
      <alignment horizontal="right"/>
      <protection locked="0"/>
    </xf>
    <xf numFmtId="0" fontId="1" fillId="0" borderId="0" xfId="0" applyFont="1" applyBorder="1" applyAlignment="1" applyProtection="1">
      <alignment horizontal="center" vertical="center" wrapText="1" shrinkToFit="1"/>
      <protection locked="0"/>
    </xf>
    <xf numFmtId="0" fontId="1" fillId="0" borderId="0" xfId="0" applyFont="1" applyAlignment="1" applyProtection="1">
      <alignment horizontal="center" vertical="center" wrapText="1"/>
      <protection locked="0"/>
    </xf>
    <xf numFmtId="9" fontId="0" fillId="0" borderId="0" xfId="1" applyFont="1" applyProtection="1">
      <protection locked="0"/>
    </xf>
    <xf numFmtId="9" fontId="0" fillId="0" borderId="0" xfId="0" applyNumberFormat="1"/>
    <xf numFmtId="0" fontId="0" fillId="0" borderId="0" xfId="0" pivotButton="1"/>
    <xf numFmtId="0" fontId="0" fillId="0" borderId="0" xfId="0" applyAlignment="1">
      <alignment horizontal="left"/>
    </xf>
    <xf numFmtId="0" fontId="3" fillId="0" borderId="8" xfId="0" applyFont="1" applyBorder="1" applyAlignment="1" applyProtection="1">
      <protection locked="0"/>
    </xf>
    <xf numFmtId="0" fontId="3" fillId="0" borderId="8" xfId="0" applyFont="1" applyBorder="1" applyAlignment="1"/>
  </cellXfs>
  <cellStyles count="2">
    <cellStyle name="Normal" xfId="0" builtinId="0"/>
    <cellStyle name="Percent" xfId="1" builtinId="5"/>
  </cellStyles>
  <dxfs count="2">
    <dxf>
      <font>
        <color rgb="FF9C0006"/>
      </font>
      <fill>
        <patternFill>
          <bgColor rgb="FFFFC7CE"/>
        </patternFill>
      </fil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[Michigan population and housing trend analysis.xlsx]PivotTable &amp; Analyze!PivotTable1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a:t>
            </a:r>
            <a:r>
              <a:rPr lang="en-US" baseline="0"/>
              <a:t> rapid population</a:t>
            </a:r>
            <a:r>
              <a:rPr lang="en-US"/>
              <a:t> growth</a:t>
            </a:r>
            <a:r>
              <a:rPr lang="en-US" baseline="0"/>
              <a:t> county with their housing growth rate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 &amp; Analyze'!$B$4</c:f>
              <c:strCache>
                <c:ptCount val="1"/>
                <c:pt idx="0">
                  <c:v>Sum of Housing Growth 2020 to 2024</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'PivotTable &amp; Analyze'!$A$5:$A$15</c:f>
              <c:strCache>
                <c:ptCount val="10"/>
                <c:pt idx="0">
                  <c:v>.Lake County, Michigan</c:v>
                </c:pt>
                <c:pt idx="1">
                  <c:v>.Montmorency County, Michigan</c:v>
                </c:pt>
                <c:pt idx="2">
                  <c:v>.Keweenaw County, Michigan</c:v>
                </c:pt>
                <c:pt idx="3">
                  <c:v>.Crawford County, Michigan</c:v>
                </c:pt>
                <c:pt idx="4">
                  <c:v>.Antrim County, Michigan</c:v>
                </c:pt>
                <c:pt idx="5">
                  <c:v>.Oscoda County, Michigan</c:v>
                </c:pt>
                <c:pt idx="6">
                  <c:v>.Alcona County, Michigan</c:v>
                </c:pt>
                <c:pt idx="7">
                  <c:v>.Montcalm County, Michigan</c:v>
                </c:pt>
                <c:pt idx="8">
                  <c:v>.Kalkaska County, Michigan</c:v>
                </c:pt>
                <c:pt idx="9">
                  <c:v>.Otsego County, Michigan</c:v>
                </c:pt>
              </c:strCache>
            </c:strRef>
          </c:cat>
          <c:val>
            <c:numRef>
              <c:f>'PivotTable &amp; Analyze'!$B$5:$B$15</c:f>
              <c:numCache>
                <c:formatCode>0%</c:formatCode>
                <c:ptCount val="10"/>
                <c:pt idx="0">
                  <c:v>1.763866996922615E-2</c:v>
                </c:pt>
                <c:pt idx="1">
                  <c:v>-4.4797849703214247E-4</c:v>
                </c:pt>
                <c:pt idx="2">
                  <c:v>2.9049295774647887E-2</c:v>
                </c:pt>
                <c:pt idx="3">
                  <c:v>2.9463759575721862E-2</c:v>
                </c:pt>
                <c:pt idx="4">
                  <c:v>1.9482738976871368E-2</c:v>
                </c:pt>
                <c:pt idx="5">
                  <c:v>1.319571465900183E-2</c:v>
                </c:pt>
                <c:pt idx="6">
                  <c:v>1.3829372808726139E-2</c:v>
                </c:pt>
                <c:pt idx="7">
                  <c:v>2.0103203612126426E-2</c:v>
                </c:pt>
                <c:pt idx="8">
                  <c:v>1.7101399205389532E-2</c:v>
                </c:pt>
                <c:pt idx="9">
                  <c:v>4.7096817600753545E-3</c:v>
                </c:pt>
              </c:numCache>
            </c:numRef>
          </c:val>
          <c:extLst>
            <c:ext xmlns:c16="http://schemas.microsoft.com/office/drawing/2014/chart" uri="{C3380CC4-5D6E-409C-BE32-E72D297353CC}">
              <c16:uniqueId val="{00000000-ABC6-1F43-AC28-9AC859EBDDD9}"/>
            </c:ext>
          </c:extLst>
        </c:ser>
        <c:ser>
          <c:idx val="1"/>
          <c:order val="1"/>
          <c:tx>
            <c:strRef>
              <c:f>'PivotTable &amp; Analyze'!$C$4</c:f>
              <c:strCache>
                <c:ptCount val="1"/>
                <c:pt idx="0">
                  <c:v>Sum of Population Growth 2020 to 2024</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'PivotTable &amp; Analyze'!$A$5:$A$15</c:f>
              <c:strCache>
                <c:ptCount val="10"/>
                <c:pt idx="0">
                  <c:v>.Lake County, Michigan</c:v>
                </c:pt>
                <c:pt idx="1">
                  <c:v>.Montmorency County, Michigan</c:v>
                </c:pt>
                <c:pt idx="2">
                  <c:v>.Keweenaw County, Michigan</c:v>
                </c:pt>
                <c:pt idx="3">
                  <c:v>.Crawford County, Michigan</c:v>
                </c:pt>
                <c:pt idx="4">
                  <c:v>.Antrim County, Michigan</c:v>
                </c:pt>
                <c:pt idx="5">
                  <c:v>.Oscoda County, Michigan</c:v>
                </c:pt>
                <c:pt idx="6">
                  <c:v>.Alcona County, Michigan</c:v>
                </c:pt>
                <c:pt idx="7">
                  <c:v>.Montcalm County, Michigan</c:v>
                </c:pt>
                <c:pt idx="8">
                  <c:v>.Kalkaska County, Michigan</c:v>
                </c:pt>
                <c:pt idx="9">
                  <c:v>.Otsego County, Michigan</c:v>
                </c:pt>
              </c:strCache>
            </c:strRef>
          </c:cat>
          <c:val>
            <c:numRef>
              <c:f>'PivotTable &amp; Analyze'!$C$5:$C$15</c:f>
              <c:numCache>
                <c:formatCode>0%</c:formatCode>
                <c:ptCount val="10"/>
                <c:pt idx="0">
                  <c:v>7.4971069598280704E-2</c:v>
                </c:pt>
                <c:pt idx="1">
                  <c:v>7.1755725190839698E-2</c:v>
                </c:pt>
                <c:pt idx="2">
                  <c:v>4.953861097620204E-2</c:v>
                </c:pt>
                <c:pt idx="3">
                  <c:v>4.7124047124047122E-2</c:v>
                </c:pt>
                <c:pt idx="4">
                  <c:v>4.586530264279625E-2</c:v>
                </c:pt>
                <c:pt idx="5">
                  <c:v>4.3837279902853674E-2</c:v>
                </c:pt>
                <c:pt idx="6">
                  <c:v>4.3102601865488463E-2</c:v>
                </c:pt>
                <c:pt idx="7">
                  <c:v>3.9829580401746202E-2</c:v>
                </c:pt>
                <c:pt idx="8">
                  <c:v>3.8429360254336548E-2</c:v>
                </c:pt>
                <c:pt idx="9">
                  <c:v>3.7716331808235526E-2</c:v>
                </c:pt>
              </c:numCache>
            </c:numRef>
          </c:val>
          <c:extLst>
            <c:ext xmlns:c16="http://schemas.microsoft.com/office/drawing/2014/chart" uri="{C3380CC4-5D6E-409C-BE32-E72D297353CC}">
              <c16:uniqueId val="{00000009-ABC6-1F43-AC28-9AC859EBDDD9}"/>
            </c:ext>
          </c:extLst>
        </c:ser>
        <c:dLbls>
          <c:showLegendKey val="0"/>
          <c:showVal val="0"/>
          <c:showCatName val="0"/>
          <c:showSerName val="0"/>
          <c:showPercent val="0"/>
          <c:showBubbleSize val="0"/>
        </c:dLbls>
        <c:gapWidth val="75"/>
        <c:overlap val="-25"/>
        <c:axId val="1790814271"/>
        <c:axId val="1790811583"/>
      </c:barChart>
      <c:catAx>
        <c:axId val="179081427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90811583"/>
        <c:crosses val="autoZero"/>
        <c:auto val="1"/>
        <c:lblAlgn val="ctr"/>
        <c:lblOffset val="100"/>
        <c:noMultiLvlLbl val="0"/>
      </c:catAx>
      <c:valAx>
        <c:axId val="1790811583"/>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90814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Population</a:t>
            </a:r>
            <a:r>
              <a:rPr lang="en-US" b="1" baseline="0">
                <a:solidFill>
                  <a:schemeClr val="tx2"/>
                </a:solidFill>
              </a:rPr>
              <a:t> &amp; Housing trend Correlation</a:t>
            </a:r>
            <a:endParaRPr lang="en-US" b="1">
              <a:solidFill>
                <a:schemeClr val="tx2"/>
              </a:solidFill>
            </a:endParaRPr>
          </a:p>
        </c:rich>
      </c:tx>
      <c:layout>
        <c:manualLayout>
          <c:xMode val="edge"/>
          <c:yMode val="edge"/>
          <c:x val="0.29478260869565215"/>
          <c:y val="2.4561403508771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'Population Data'!$G$1</c:f>
              <c:strCache>
                <c:ptCount val="1"/>
                <c:pt idx="0">
                  <c:v>Population Growth 2020 to 2024</c:v>
                </c:pt>
              </c:strCache>
            </c:strRef>
          </c:tx>
          <c:spPr>
            <a:ln w="76200" cap="rnd">
              <a:solidFill>
                <a:schemeClr val="accent1"/>
              </a:solidFill>
              <a:round/>
            </a:ln>
            <a:effectLst>
              <a:innerShdw blurRad="63500" dist="50800" dir="13500000">
                <a:prstClr val="black">
                  <a:alpha val="50000"/>
                </a:prstClr>
              </a:innerShdw>
            </a:effectLst>
          </c:spPr>
          <c:marker>
            <c:symbol val="none"/>
          </c:marker>
          <c:dPt>
            <c:idx val="1"/>
            <c:marker>
              <c:symbol val="none"/>
            </c:marker>
            <c:bubble3D val="0"/>
            <c:spPr>
              <a:ln w="76200" cap="rnd">
                <a:solidFill>
                  <a:schemeClr val="accent1"/>
                </a:solidFill>
                <a:round/>
              </a:ln>
              <a:effectLst>
                <a:innerShdw blurRad="63500" dist="50800" dir="13500000">
                  <a:schemeClr val="tx2">
                    <a:alpha val="27000"/>
                  </a:schemeClr>
                </a:innerShdw>
              </a:effectLst>
            </c:spPr>
            <c:extLst>
              <c:ext xmlns:c16="http://schemas.microsoft.com/office/drawing/2014/chart" uri="{C3380CC4-5D6E-409C-BE32-E72D297353CC}">
                <c16:uniqueId val="{00000001-260A-C543-BB7C-970AAE6C8D38}"/>
              </c:ext>
            </c:extLst>
          </c:dPt>
          <c:trendline>
            <c:spPr>
              <a:ln w="28575" cap="flat" cmpd="sng" algn="ctr">
                <a:solidFill>
                  <a:schemeClr val="accent3">
                    <a:lumMod val="50000"/>
                  </a:schemeClr>
                </a:solidFill>
                <a:prstDash val="solid"/>
              </a:ln>
              <a:effectLst>
                <a:glow rad="63500">
                  <a:schemeClr val="accent2">
                    <a:satMod val="175000"/>
                    <a:alpha val="40000"/>
                  </a:schemeClr>
                </a:glow>
                <a:innerShdw blurRad="63500" dist="50800" dir="13500000">
                  <a:prstClr val="black">
                    <a:alpha val="50000"/>
                  </a:prstClr>
                </a:innerShdw>
              </a:effectLst>
            </c:spPr>
            <c:trendlineType val="linear"/>
            <c:dispRSqr val="0"/>
            <c:dispEq val="0"/>
          </c:trendline>
          <c:xVal>
            <c:strRef>
              <c:f>'Population Data'!$A$2:$A$102</c:f>
              <c:strCache>
                <c:ptCount val="94"/>
                <c:pt idx="0">
                  <c:v>.Alcona County, Michigan</c:v>
                </c:pt>
                <c:pt idx="1">
                  <c:v>.Alger County, Michigan</c:v>
                </c:pt>
                <c:pt idx="2">
                  <c:v>.Allegan County, Michigan</c:v>
                </c:pt>
                <c:pt idx="3">
                  <c:v>.Alpena County, Michigan</c:v>
                </c:pt>
                <c:pt idx="4">
                  <c:v>.Antrim County, Michigan</c:v>
                </c:pt>
                <c:pt idx="5">
                  <c:v>.Arenac County, Michigan</c:v>
                </c:pt>
                <c:pt idx="6">
                  <c:v>.Baraga County, Michigan</c:v>
                </c:pt>
                <c:pt idx="7">
                  <c:v>.Barry County, Michigan</c:v>
                </c:pt>
                <c:pt idx="8">
                  <c:v>.Bay County, Michigan</c:v>
                </c:pt>
                <c:pt idx="9">
                  <c:v>.Benzie County, Michigan</c:v>
                </c:pt>
                <c:pt idx="10">
                  <c:v>.Berrien County, Michigan</c:v>
                </c:pt>
                <c:pt idx="11">
                  <c:v>.Branch County, Michigan</c:v>
                </c:pt>
                <c:pt idx="12">
                  <c:v>.Calhoun County, Michigan</c:v>
                </c:pt>
                <c:pt idx="13">
                  <c:v>.Cass County, Michigan</c:v>
                </c:pt>
                <c:pt idx="14">
                  <c:v>.Charlevoix County, Michigan</c:v>
                </c:pt>
                <c:pt idx="15">
                  <c:v>.Cheboygan County, Michigan</c:v>
                </c:pt>
                <c:pt idx="16">
                  <c:v>.Chippewa County, Michigan</c:v>
                </c:pt>
                <c:pt idx="17">
                  <c:v>.Clare County, Michigan</c:v>
                </c:pt>
                <c:pt idx="18">
                  <c:v>.Clinton County, Michigan</c:v>
                </c:pt>
                <c:pt idx="19">
                  <c:v>.Crawford County, Michigan</c:v>
                </c:pt>
                <c:pt idx="20">
                  <c:v>.Delta County, Michigan</c:v>
                </c:pt>
                <c:pt idx="21">
                  <c:v>.Dickinson County, Michigan</c:v>
                </c:pt>
                <c:pt idx="22">
                  <c:v>.Eaton County, Michigan</c:v>
                </c:pt>
                <c:pt idx="23">
                  <c:v>.Emmet County, Michigan</c:v>
                </c:pt>
                <c:pt idx="24">
                  <c:v>.Genesee County, Michigan</c:v>
                </c:pt>
                <c:pt idx="25">
                  <c:v>.Gladwin County, Michigan</c:v>
                </c:pt>
                <c:pt idx="26">
                  <c:v>.Gogebic County, Michigan</c:v>
                </c:pt>
                <c:pt idx="27">
                  <c:v>.Grand Traverse County, Michigan</c:v>
                </c:pt>
                <c:pt idx="28">
                  <c:v>.Gratiot County, Michigan</c:v>
                </c:pt>
                <c:pt idx="29">
                  <c:v>.Hillsdale County, Michigan</c:v>
                </c:pt>
                <c:pt idx="30">
                  <c:v>.Houghton County, Michigan</c:v>
                </c:pt>
                <c:pt idx="31">
                  <c:v>.Huron County, Michigan</c:v>
                </c:pt>
                <c:pt idx="32">
                  <c:v>.Ingham County, Michigan</c:v>
                </c:pt>
                <c:pt idx="33">
                  <c:v>.Ionia County, Michigan</c:v>
                </c:pt>
                <c:pt idx="34">
                  <c:v>.Iosco County, Michigan</c:v>
                </c:pt>
                <c:pt idx="35">
                  <c:v>.Iron County, Michigan</c:v>
                </c:pt>
                <c:pt idx="36">
                  <c:v>.Isabella County, Michigan</c:v>
                </c:pt>
                <c:pt idx="37">
                  <c:v>.Jackson County, Michigan</c:v>
                </c:pt>
                <c:pt idx="38">
                  <c:v>.Kalamazoo County, Michigan</c:v>
                </c:pt>
                <c:pt idx="39">
                  <c:v>.Kalkaska County, Michigan</c:v>
                </c:pt>
                <c:pt idx="40">
                  <c:v>.Kent County, Michigan</c:v>
                </c:pt>
                <c:pt idx="41">
                  <c:v>.Keweenaw County, Michigan</c:v>
                </c:pt>
                <c:pt idx="42">
                  <c:v>.Lake County, Michigan</c:v>
                </c:pt>
                <c:pt idx="43">
                  <c:v>.Lapeer County, Michigan</c:v>
                </c:pt>
                <c:pt idx="44">
                  <c:v>.Leelanau County, Michigan</c:v>
                </c:pt>
                <c:pt idx="45">
                  <c:v>.Lenawee County, Michigan</c:v>
                </c:pt>
                <c:pt idx="46">
                  <c:v>.Livingston County, Michigan</c:v>
                </c:pt>
                <c:pt idx="47">
                  <c:v>.Luce County, Michigan</c:v>
                </c:pt>
                <c:pt idx="48">
                  <c:v>.Mackinac County, Michigan</c:v>
                </c:pt>
                <c:pt idx="49">
                  <c:v>.Macomb County, Michigan</c:v>
                </c:pt>
                <c:pt idx="50">
                  <c:v>.Manistee County, Michigan</c:v>
                </c:pt>
                <c:pt idx="51">
                  <c:v>.Marquette County, Michigan</c:v>
                </c:pt>
                <c:pt idx="52">
                  <c:v>.Mason County, Michigan</c:v>
                </c:pt>
                <c:pt idx="53">
                  <c:v>.Mecosta County, Michigan</c:v>
                </c:pt>
                <c:pt idx="54">
                  <c:v>.Menominee County, Michigan</c:v>
                </c:pt>
                <c:pt idx="55">
                  <c:v>.Midland County, Michigan</c:v>
                </c:pt>
                <c:pt idx="56">
                  <c:v>.Missaukee County, Michigan</c:v>
                </c:pt>
                <c:pt idx="57">
                  <c:v>.Monroe County, Michigan</c:v>
                </c:pt>
                <c:pt idx="58">
                  <c:v>.Montcalm County, Michigan</c:v>
                </c:pt>
                <c:pt idx="59">
                  <c:v>.Montmorency County, Michigan</c:v>
                </c:pt>
                <c:pt idx="60">
                  <c:v>.Muskegon County, Michigan</c:v>
                </c:pt>
                <c:pt idx="61">
                  <c:v>.Newaygo County, Michigan</c:v>
                </c:pt>
                <c:pt idx="62">
                  <c:v>.Oakland County, Michigan</c:v>
                </c:pt>
                <c:pt idx="63">
                  <c:v>.Oceana County, Michigan</c:v>
                </c:pt>
                <c:pt idx="64">
                  <c:v>.Ogemaw County, Michigan</c:v>
                </c:pt>
                <c:pt idx="65">
                  <c:v>.Ontonagon County, Michigan</c:v>
                </c:pt>
                <c:pt idx="66">
                  <c:v>.Osceola County, Michigan</c:v>
                </c:pt>
                <c:pt idx="67">
                  <c:v>.Oscoda County, Michigan</c:v>
                </c:pt>
                <c:pt idx="68">
                  <c:v>.Otsego County, Michigan</c:v>
                </c:pt>
                <c:pt idx="69">
                  <c:v>.Ottawa County, Michigan</c:v>
                </c:pt>
                <c:pt idx="70">
                  <c:v>.Presque Isle County, Michigan</c:v>
                </c:pt>
                <c:pt idx="71">
                  <c:v>.Roscommon County, Michigan</c:v>
                </c:pt>
                <c:pt idx="72">
                  <c:v>.Saginaw County, Michigan</c:v>
                </c:pt>
                <c:pt idx="73">
                  <c:v>.Sanilac County, Michigan</c:v>
                </c:pt>
                <c:pt idx="74">
                  <c:v>.Schoolcraft County, Michigan</c:v>
                </c:pt>
                <c:pt idx="75">
                  <c:v>.Shiawassee County, Michigan</c:v>
                </c:pt>
                <c:pt idx="76">
                  <c:v>.St. Clair County, Michigan</c:v>
                </c:pt>
                <c:pt idx="77">
                  <c:v>.St. Joseph County, Michigan</c:v>
                </c:pt>
                <c:pt idx="78">
                  <c:v>.Tuscola County, Michigan</c:v>
                </c:pt>
                <c:pt idx="79">
                  <c:v>.Van Buren County, Michigan</c:v>
                </c:pt>
                <c:pt idx="80">
                  <c:v>.Washtenaw County, Michigan</c:v>
                </c:pt>
                <c:pt idx="81">
                  <c:v>.Wayne County, Michigan</c:v>
                </c:pt>
                <c:pt idx="82">
                  <c:v>.Wexford County, Michigan</c:v>
                </c:pt>
                <c:pt idx="88">
                  <c:v>The Census Bureau has reviewed this data product to ensure appropriate access, use, and disclosure avoidance protection of the confidential source data used to produce this product (Data Management System (DMS) number: P-6000042 and P-7501659. Disclosure R</c:v>
                </c:pt>
                <c:pt idx="89">
                  <c:v>Note: The estimates are developed from a base that integrates the 2020 Census, Vintage 2020 estimates, and 2020 Demographic Analysis estimates.  For population estimates methodology statements, see https://www.census.gov/programs-surveys/popest/technical-d</c:v>
                </c:pt>
                <c:pt idx="90">
                  <c:v>Suggested Citation:</c:v>
                </c:pt>
                <c:pt idx="91">
                  <c:v>Annual Estimates of the Resident Population for Counties in Michigan: April 1, 2020 to July 1, 2024 (CO-EST2024-POP-26)</c:v>
                </c:pt>
                <c:pt idx="92">
                  <c:v>Source: U.S. Census Bureau, Population Division</c:v>
                </c:pt>
                <c:pt idx="93">
                  <c:v>Release Date: March 2025</c:v>
                </c:pt>
              </c:strCache>
            </c:strRef>
          </c:xVal>
          <c:yVal>
            <c:numRef>
              <c:f>'Population Data'!$G$2:$G$102</c:f>
              <c:numCache>
                <c:formatCode>0%</c:formatCode>
                <c:ptCount val="101"/>
                <c:pt idx="0">
                  <c:v>4.3102601865488463E-2</c:v>
                </c:pt>
                <c:pt idx="1">
                  <c:v>-1.6291435682769546E-2</c:v>
                </c:pt>
                <c:pt idx="2">
                  <c:v>1.4652621808206463E-2</c:v>
                </c:pt>
                <c:pt idx="3">
                  <c:v>8.3105370684580487E-4</c:v>
                </c:pt>
                <c:pt idx="4">
                  <c:v>4.586530264279625E-2</c:v>
                </c:pt>
                <c:pt idx="5">
                  <c:v>5.1968818708774739E-3</c:v>
                </c:pt>
                <c:pt idx="6">
                  <c:v>3.4393809114359416E-3</c:v>
                </c:pt>
                <c:pt idx="7">
                  <c:v>2.2649224527608734E-2</c:v>
                </c:pt>
                <c:pt idx="8">
                  <c:v>-1.056416089139927E-2</c:v>
                </c:pt>
                <c:pt idx="9">
                  <c:v>2.9289168009781583E-2</c:v>
                </c:pt>
                <c:pt idx="10">
                  <c:v>-1.1157447580070713E-2</c:v>
                </c:pt>
                <c:pt idx="11">
                  <c:v>2.9167966486920095E-2</c:v>
                </c:pt>
                <c:pt idx="12">
                  <c:v>-3.2335213345353491E-3</c:v>
                </c:pt>
                <c:pt idx="13">
                  <c:v>-5.8192539716408353E-5</c:v>
                </c:pt>
                <c:pt idx="14">
                  <c:v>2.6886883042058769E-3</c:v>
                </c:pt>
                <c:pt idx="15">
                  <c:v>1.4813367207348056E-2</c:v>
                </c:pt>
                <c:pt idx="16">
                  <c:v>-1.4515997499116536E-2</c:v>
                </c:pt>
                <c:pt idx="17">
                  <c:v>1.8221314398729049E-2</c:v>
                </c:pt>
                <c:pt idx="18">
                  <c:v>1.1102550176200881E-2</c:v>
                </c:pt>
                <c:pt idx="19">
                  <c:v>4.7124047124047122E-2</c:v>
                </c:pt>
                <c:pt idx="20">
                  <c:v>-5.0713239681076097E-3</c:v>
                </c:pt>
                <c:pt idx="21">
                  <c:v>3.3967653529933996E-3</c:v>
                </c:pt>
                <c:pt idx="22">
                  <c:v>2.7014899403840693E-3</c:v>
                </c:pt>
                <c:pt idx="23">
                  <c:v>-4.8075513733767186E-3</c:v>
                </c:pt>
                <c:pt idx="24">
                  <c:v>-8.6595875236881864E-3</c:v>
                </c:pt>
                <c:pt idx="25">
                  <c:v>2.4635396137169887E-2</c:v>
                </c:pt>
                <c:pt idx="26">
                  <c:v>-8.9920535340861571E-3</c:v>
                </c:pt>
                <c:pt idx="27">
                  <c:v>1.2554098944743103E-2</c:v>
                </c:pt>
                <c:pt idx="28">
                  <c:v>-7.5563125194904887E-3</c:v>
                </c:pt>
                <c:pt idx="29">
                  <c:v>-3.0614476273780888E-3</c:v>
                </c:pt>
                <c:pt idx="30">
                  <c:v>2.1070431608331545E-2</c:v>
                </c:pt>
                <c:pt idx="31">
                  <c:v>-1.8870330230779039E-2</c:v>
                </c:pt>
                <c:pt idx="32">
                  <c:v>1.9017076773552931E-2</c:v>
                </c:pt>
                <c:pt idx="33">
                  <c:v>-9.5827540326800312E-3</c:v>
                </c:pt>
                <c:pt idx="34">
                  <c:v>6.8283774663543614E-3</c:v>
                </c:pt>
                <c:pt idx="35">
                  <c:v>7.7459333849728895E-3</c:v>
                </c:pt>
                <c:pt idx="36">
                  <c:v>8.5398552409293102E-3</c:v>
                </c:pt>
                <c:pt idx="37">
                  <c:v>6.2413011864713558E-5</c:v>
                </c:pt>
                <c:pt idx="38">
                  <c:v>1.1328653165988068E-2</c:v>
                </c:pt>
                <c:pt idx="39">
                  <c:v>3.8429360254336548E-2</c:v>
                </c:pt>
                <c:pt idx="40">
                  <c:v>2.1985531279042222E-2</c:v>
                </c:pt>
                <c:pt idx="41">
                  <c:v>4.953861097620204E-2</c:v>
                </c:pt>
                <c:pt idx="42">
                  <c:v>7.4971069598280704E-2</c:v>
                </c:pt>
                <c:pt idx="43">
                  <c:v>6.5585243884542883E-3</c:v>
                </c:pt>
                <c:pt idx="44">
                  <c:v>2.5237582929890621E-2</c:v>
                </c:pt>
                <c:pt idx="45">
                  <c:v>-1.5827946595783241E-2</c:v>
                </c:pt>
                <c:pt idx="46">
                  <c:v>1.5397780286511091E-2</c:v>
                </c:pt>
                <c:pt idx="47">
                  <c:v>-1.2792511700468018E-2</c:v>
                </c:pt>
                <c:pt idx="48">
                  <c:v>3.0801960965683099E-2</c:v>
                </c:pt>
                <c:pt idx="49">
                  <c:v>6.6807225767754868E-3</c:v>
                </c:pt>
                <c:pt idx="50">
                  <c:v>1.7909852413242919E-2</c:v>
                </c:pt>
                <c:pt idx="51">
                  <c:v>2.1564679009377256E-2</c:v>
                </c:pt>
                <c:pt idx="52">
                  <c:v>1.9285738884871027E-3</c:v>
                </c:pt>
                <c:pt idx="53">
                  <c:v>3.7624301192301986E-2</c:v>
                </c:pt>
                <c:pt idx="54">
                  <c:v>-1.7057569296375266E-2</c:v>
                </c:pt>
                <c:pt idx="55">
                  <c:v>6.3358604912986715E-3</c:v>
                </c:pt>
                <c:pt idx="56">
                  <c:v>1.1415676644322028E-2</c:v>
                </c:pt>
                <c:pt idx="57">
                  <c:v>7.3333376369352325E-3</c:v>
                </c:pt>
                <c:pt idx="58">
                  <c:v>3.9829580401746202E-2</c:v>
                </c:pt>
                <c:pt idx="59">
                  <c:v>7.1755725190839698E-2</c:v>
                </c:pt>
                <c:pt idx="60">
                  <c:v>1.5069167133883314E-2</c:v>
                </c:pt>
                <c:pt idx="61">
                  <c:v>2.8126559536879928E-2</c:v>
                </c:pt>
                <c:pt idx="62">
                  <c:v>1.9144599010157748E-2</c:v>
                </c:pt>
                <c:pt idx="63">
                  <c:v>1.1154364425812247E-2</c:v>
                </c:pt>
                <c:pt idx="64">
                  <c:v>9.6223237911955729E-3</c:v>
                </c:pt>
                <c:pt idx="65">
                  <c:v>3.6188178528347406E-3</c:v>
                </c:pt>
                <c:pt idx="66">
                  <c:v>2.5412627718103223E-2</c:v>
                </c:pt>
                <c:pt idx="67">
                  <c:v>4.3837279902853674E-2</c:v>
                </c:pt>
                <c:pt idx="68">
                  <c:v>3.7716331808235526E-2</c:v>
                </c:pt>
                <c:pt idx="69">
                  <c:v>3.1445036864388223E-2</c:v>
                </c:pt>
                <c:pt idx="70">
                  <c:v>1.7770597738287562E-2</c:v>
                </c:pt>
                <c:pt idx="71">
                  <c:v>1.9901981674834861E-2</c:v>
                </c:pt>
                <c:pt idx="72">
                  <c:v>-1.1422823528172612E-2</c:v>
                </c:pt>
                <c:pt idx="73">
                  <c:v>-5.2093620383172031E-3</c:v>
                </c:pt>
                <c:pt idx="74">
                  <c:v>1.5017996772992429E-2</c:v>
                </c:pt>
                <c:pt idx="75">
                  <c:v>-3.2351038174225044E-4</c:v>
                </c:pt>
                <c:pt idx="76">
                  <c:v>-5.3617965759317676E-4</c:v>
                </c:pt>
                <c:pt idx="77">
                  <c:v>3.7576712283810838E-3</c:v>
                </c:pt>
                <c:pt idx="78">
                  <c:v>-1.0391851587852413E-2</c:v>
                </c:pt>
                <c:pt idx="79">
                  <c:v>7.4504406743773656E-3</c:v>
                </c:pt>
                <c:pt idx="80">
                  <c:v>5.4484481604091988E-3</c:v>
                </c:pt>
                <c:pt idx="81">
                  <c:v>-1.0388594449768251E-2</c:v>
                </c:pt>
                <c:pt idx="82">
                  <c:v>2.2885808424114695E-2</c:v>
                </c:pt>
              </c:numCache>
            </c:numRef>
          </c:yVal>
          <c:smooth val="1"/>
          <c:extLst>
            <c:ext xmlns:c16="http://schemas.microsoft.com/office/drawing/2014/chart" uri="{C3380CC4-5D6E-409C-BE32-E72D297353CC}">
              <c16:uniqueId val="{00000003-260A-C543-BB7C-970AAE6C8D38}"/>
            </c:ext>
          </c:extLst>
        </c:ser>
        <c:ser>
          <c:idx val="1"/>
          <c:order val="1"/>
          <c:tx>
            <c:strRef>
              <c:f>'Population Data'!$M$1</c:f>
              <c:strCache>
                <c:ptCount val="1"/>
                <c:pt idx="0">
                  <c:v>Housing Growth 2020 to 2024</c:v>
                </c:pt>
              </c:strCache>
            </c:strRef>
          </c:tx>
          <c:spPr>
            <a:ln w="76200" cap="rnd">
              <a:solidFill>
                <a:schemeClr val="accent2"/>
              </a:solidFill>
              <a:round/>
            </a:ln>
            <a:effectLst/>
          </c:spPr>
          <c:marker>
            <c:symbol val="none"/>
          </c:marker>
          <c:xVal>
            <c:strRef>
              <c:f>'Population Data'!$A$2:$A$102</c:f>
              <c:strCache>
                <c:ptCount val="94"/>
                <c:pt idx="0">
                  <c:v>.Alcona County, Michigan</c:v>
                </c:pt>
                <c:pt idx="1">
                  <c:v>.Alger County, Michigan</c:v>
                </c:pt>
                <c:pt idx="2">
                  <c:v>.Allegan County, Michigan</c:v>
                </c:pt>
                <c:pt idx="3">
                  <c:v>.Alpena County, Michigan</c:v>
                </c:pt>
                <c:pt idx="4">
                  <c:v>.Antrim County, Michigan</c:v>
                </c:pt>
                <c:pt idx="5">
                  <c:v>.Arenac County, Michigan</c:v>
                </c:pt>
                <c:pt idx="6">
                  <c:v>.Baraga County, Michigan</c:v>
                </c:pt>
                <c:pt idx="7">
                  <c:v>.Barry County, Michigan</c:v>
                </c:pt>
                <c:pt idx="8">
                  <c:v>.Bay County, Michigan</c:v>
                </c:pt>
                <c:pt idx="9">
                  <c:v>.Benzie County, Michigan</c:v>
                </c:pt>
                <c:pt idx="10">
                  <c:v>.Berrien County, Michigan</c:v>
                </c:pt>
                <c:pt idx="11">
                  <c:v>.Branch County, Michigan</c:v>
                </c:pt>
                <c:pt idx="12">
                  <c:v>.Calhoun County, Michigan</c:v>
                </c:pt>
                <c:pt idx="13">
                  <c:v>.Cass County, Michigan</c:v>
                </c:pt>
                <c:pt idx="14">
                  <c:v>.Charlevoix County, Michigan</c:v>
                </c:pt>
                <c:pt idx="15">
                  <c:v>.Cheboygan County, Michigan</c:v>
                </c:pt>
                <c:pt idx="16">
                  <c:v>.Chippewa County, Michigan</c:v>
                </c:pt>
                <c:pt idx="17">
                  <c:v>.Clare County, Michigan</c:v>
                </c:pt>
                <c:pt idx="18">
                  <c:v>.Clinton County, Michigan</c:v>
                </c:pt>
                <c:pt idx="19">
                  <c:v>.Crawford County, Michigan</c:v>
                </c:pt>
                <c:pt idx="20">
                  <c:v>.Delta County, Michigan</c:v>
                </c:pt>
                <c:pt idx="21">
                  <c:v>.Dickinson County, Michigan</c:v>
                </c:pt>
                <c:pt idx="22">
                  <c:v>.Eaton County, Michigan</c:v>
                </c:pt>
                <c:pt idx="23">
                  <c:v>.Emmet County, Michigan</c:v>
                </c:pt>
                <c:pt idx="24">
                  <c:v>.Genesee County, Michigan</c:v>
                </c:pt>
                <c:pt idx="25">
                  <c:v>.Gladwin County, Michigan</c:v>
                </c:pt>
                <c:pt idx="26">
                  <c:v>.Gogebic County, Michigan</c:v>
                </c:pt>
                <c:pt idx="27">
                  <c:v>.Grand Traverse County, Michigan</c:v>
                </c:pt>
                <c:pt idx="28">
                  <c:v>.Gratiot County, Michigan</c:v>
                </c:pt>
                <c:pt idx="29">
                  <c:v>.Hillsdale County, Michigan</c:v>
                </c:pt>
                <c:pt idx="30">
                  <c:v>.Houghton County, Michigan</c:v>
                </c:pt>
                <c:pt idx="31">
                  <c:v>.Huron County, Michigan</c:v>
                </c:pt>
                <c:pt idx="32">
                  <c:v>.Ingham County, Michigan</c:v>
                </c:pt>
                <c:pt idx="33">
                  <c:v>.Ionia County, Michigan</c:v>
                </c:pt>
                <c:pt idx="34">
                  <c:v>.Iosco County, Michigan</c:v>
                </c:pt>
                <c:pt idx="35">
                  <c:v>.Iron County, Michigan</c:v>
                </c:pt>
                <c:pt idx="36">
                  <c:v>.Isabella County, Michigan</c:v>
                </c:pt>
                <c:pt idx="37">
                  <c:v>.Jackson County, Michigan</c:v>
                </c:pt>
                <c:pt idx="38">
                  <c:v>.Kalamazoo County, Michigan</c:v>
                </c:pt>
                <c:pt idx="39">
                  <c:v>.Kalkaska County, Michigan</c:v>
                </c:pt>
                <c:pt idx="40">
                  <c:v>.Kent County, Michigan</c:v>
                </c:pt>
                <c:pt idx="41">
                  <c:v>.Keweenaw County, Michigan</c:v>
                </c:pt>
                <c:pt idx="42">
                  <c:v>.Lake County, Michigan</c:v>
                </c:pt>
                <c:pt idx="43">
                  <c:v>.Lapeer County, Michigan</c:v>
                </c:pt>
                <c:pt idx="44">
                  <c:v>.Leelanau County, Michigan</c:v>
                </c:pt>
                <c:pt idx="45">
                  <c:v>.Lenawee County, Michigan</c:v>
                </c:pt>
                <c:pt idx="46">
                  <c:v>.Livingston County, Michigan</c:v>
                </c:pt>
                <c:pt idx="47">
                  <c:v>.Luce County, Michigan</c:v>
                </c:pt>
                <c:pt idx="48">
                  <c:v>.Mackinac County, Michigan</c:v>
                </c:pt>
                <c:pt idx="49">
                  <c:v>.Macomb County, Michigan</c:v>
                </c:pt>
                <c:pt idx="50">
                  <c:v>.Manistee County, Michigan</c:v>
                </c:pt>
                <c:pt idx="51">
                  <c:v>.Marquette County, Michigan</c:v>
                </c:pt>
                <c:pt idx="52">
                  <c:v>.Mason County, Michigan</c:v>
                </c:pt>
                <c:pt idx="53">
                  <c:v>.Mecosta County, Michigan</c:v>
                </c:pt>
                <c:pt idx="54">
                  <c:v>.Menominee County, Michigan</c:v>
                </c:pt>
                <c:pt idx="55">
                  <c:v>.Midland County, Michigan</c:v>
                </c:pt>
                <c:pt idx="56">
                  <c:v>.Missaukee County, Michigan</c:v>
                </c:pt>
                <c:pt idx="57">
                  <c:v>.Monroe County, Michigan</c:v>
                </c:pt>
                <c:pt idx="58">
                  <c:v>.Montcalm County, Michigan</c:v>
                </c:pt>
                <c:pt idx="59">
                  <c:v>.Montmorency County, Michigan</c:v>
                </c:pt>
                <c:pt idx="60">
                  <c:v>.Muskegon County, Michigan</c:v>
                </c:pt>
                <c:pt idx="61">
                  <c:v>.Newaygo County, Michigan</c:v>
                </c:pt>
                <c:pt idx="62">
                  <c:v>.Oakland County, Michigan</c:v>
                </c:pt>
                <c:pt idx="63">
                  <c:v>.Oceana County, Michigan</c:v>
                </c:pt>
                <c:pt idx="64">
                  <c:v>.Ogemaw County, Michigan</c:v>
                </c:pt>
                <c:pt idx="65">
                  <c:v>.Ontonagon County, Michigan</c:v>
                </c:pt>
                <c:pt idx="66">
                  <c:v>.Osceola County, Michigan</c:v>
                </c:pt>
                <c:pt idx="67">
                  <c:v>.Oscoda County, Michigan</c:v>
                </c:pt>
                <c:pt idx="68">
                  <c:v>.Otsego County, Michigan</c:v>
                </c:pt>
                <c:pt idx="69">
                  <c:v>.Ottawa County, Michigan</c:v>
                </c:pt>
                <c:pt idx="70">
                  <c:v>.Presque Isle County, Michigan</c:v>
                </c:pt>
                <c:pt idx="71">
                  <c:v>.Roscommon County, Michigan</c:v>
                </c:pt>
                <c:pt idx="72">
                  <c:v>.Saginaw County, Michigan</c:v>
                </c:pt>
                <c:pt idx="73">
                  <c:v>.Sanilac County, Michigan</c:v>
                </c:pt>
                <c:pt idx="74">
                  <c:v>.Schoolcraft County, Michigan</c:v>
                </c:pt>
                <c:pt idx="75">
                  <c:v>.Shiawassee County, Michigan</c:v>
                </c:pt>
                <c:pt idx="76">
                  <c:v>.St. Clair County, Michigan</c:v>
                </c:pt>
                <c:pt idx="77">
                  <c:v>.St. Joseph County, Michigan</c:v>
                </c:pt>
                <c:pt idx="78">
                  <c:v>.Tuscola County, Michigan</c:v>
                </c:pt>
                <c:pt idx="79">
                  <c:v>.Van Buren County, Michigan</c:v>
                </c:pt>
                <c:pt idx="80">
                  <c:v>.Washtenaw County, Michigan</c:v>
                </c:pt>
                <c:pt idx="81">
                  <c:v>.Wayne County, Michigan</c:v>
                </c:pt>
                <c:pt idx="82">
                  <c:v>.Wexford County, Michigan</c:v>
                </c:pt>
                <c:pt idx="88">
                  <c:v>The Census Bureau has reviewed this data product to ensure appropriate access, use, and disclosure avoidance protection of the confidential source data used to produce this product (Data Management System (DMS) number: P-6000042 and P-7501659. Disclosure R</c:v>
                </c:pt>
                <c:pt idx="89">
                  <c:v>Note: The estimates are developed from a base that integrates the 2020 Census, Vintage 2020 estimates, and 2020 Demographic Analysis estimates.  For population estimates methodology statements, see https://www.census.gov/programs-surveys/popest/technical-d</c:v>
                </c:pt>
                <c:pt idx="90">
                  <c:v>Suggested Citation:</c:v>
                </c:pt>
                <c:pt idx="91">
                  <c:v>Annual Estimates of the Resident Population for Counties in Michigan: April 1, 2020 to July 1, 2024 (CO-EST2024-POP-26)</c:v>
                </c:pt>
                <c:pt idx="92">
                  <c:v>Source: U.S. Census Bureau, Population Division</c:v>
                </c:pt>
                <c:pt idx="93">
                  <c:v>Release Date: March 2025</c:v>
                </c:pt>
              </c:strCache>
            </c:strRef>
          </c:xVal>
          <c:yVal>
            <c:numRef>
              <c:f>'Population Data'!$M$2:$M$102</c:f>
              <c:numCache>
                <c:formatCode>0%</c:formatCode>
                <c:ptCount val="101"/>
                <c:pt idx="0">
                  <c:v>1.3829372808726139E-2</c:v>
                </c:pt>
                <c:pt idx="1">
                  <c:v>1.5392093324692158E-2</c:v>
                </c:pt>
                <c:pt idx="2">
                  <c:v>3.1054224415444222E-2</c:v>
                </c:pt>
                <c:pt idx="3">
                  <c:v>5.6883548510801487E-3</c:v>
                </c:pt>
                <c:pt idx="4">
                  <c:v>1.9482738976871368E-2</c:v>
                </c:pt>
                <c:pt idx="5">
                  <c:v>7.6801683324566015E-3</c:v>
                </c:pt>
                <c:pt idx="6">
                  <c:v>8.9073634204275536E-3</c:v>
                </c:pt>
                <c:pt idx="7">
                  <c:v>2.6243749315618497E-2</c:v>
                </c:pt>
                <c:pt idx="8">
                  <c:v>2.3680092249402851E-3</c:v>
                </c:pt>
                <c:pt idx="9">
                  <c:v>3.7804374742055301E-2</c:v>
                </c:pt>
                <c:pt idx="10">
                  <c:v>1.1815839471150093E-2</c:v>
                </c:pt>
                <c:pt idx="11">
                  <c:v>2.3355484927284984E-2</c:v>
                </c:pt>
                <c:pt idx="12">
                  <c:v>3.6968576709796672E-3</c:v>
                </c:pt>
                <c:pt idx="13">
                  <c:v>2.5205436156763589E-2</c:v>
                </c:pt>
                <c:pt idx="14">
                  <c:v>2.4094316946145482E-2</c:v>
                </c:pt>
                <c:pt idx="15">
                  <c:v>1.7404614774080163E-2</c:v>
                </c:pt>
                <c:pt idx="16">
                  <c:v>1.0006408044560556E-2</c:v>
                </c:pt>
                <c:pt idx="17">
                  <c:v>1.4519305638254019E-2</c:v>
                </c:pt>
                <c:pt idx="18">
                  <c:v>2.2591139894797652E-2</c:v>
                </c:pt>
                <c:pt idx="19">
                  <c:v>2.9463759575721862E-2</c:v>
                </c:pt>
                <c:pt idx="20">
                  <c:v>4.9524964625025265E-3</c:v>
                </c:pt>
                <c:pt idx="21">
                  <c:v>6.6815144766146995E-3</c:v>
                </c:pt>
                <c:pt idx="22">
                  <c:v>9.5973733504514554E-3</c:v>
                </c:pt>
                <c:pt idx="23">
                  <c:v>2.1073412607318306E-2</c:v>
                </c:pt>
                <c:pt idx="24">
                  <c:v>7.4132707372328516E-3</c:v>
                </c:pt>
                <c:pt idx="25">
                  <c:v>2.1455666192508299E-2</c:v>
                </c:pt>
                <c:pt idx="26">
                  <c:v>1.4432791301837776E-3</c:v>
                </c:pt>
                <c:pt idx="27">
                  <c:v>4.9561030869442087E-2</c:v>
                </c:pt>
                <c:pt idx="28">
                  <c:v>7.8587912430611861E-3</c:v>
                </c:pt>
                <c:pt idx="29">
                  <c:v>1.200373657169547E-2</c:v>
                </c:pt>
                <c:pt idx="30">
                  <c:v>3.0317664734921656E-2</c:v>
                </c:pt>
                <c:pt idx="31">
                  <c:v>4.0354330708661417E-3</c:v>
                </c:pt>
                <c:pt idx="32">
                  <c:v>1.4552185221234701E-2</c:v>
                </c:pt>
                <c:pt idx="33">
                  <c:v>1.4755360979366817E-2</c:v>
                </c:pt>
                <c:pt idx="34">
                  <c:v>1.5253725332259363E-2</c:v>
                </c:pt>
                <c:pt idx="35">
                  <c:v>6.0916563450061932E-2</c:v>
                </c:pt>
                <c:pt idx="36">
                  <c:v>1.0383414599922825E-2</c:v>
                </c:pt>
                <c:pt idx="37">
                  <c:v>6.1219173324070855E-3</c:v>
                </c:pt>
                <c:pt idx="38">
                  <c:v>1.4332898206635537E-2</c:v>
                </c:pt>
                <c:pt idx="39">
                  <c:v>1.7101399205389532E-2</c:v>
                </c:pt>
                <c:pt idx="40">
                  <c:v>2.8149018455965145E-2</c:v>
                </c:pt>
                <c:pt idx="41">
                  <c:v>2.9049295774647887E-2</c:v>
                </c:pt>
                <c:pt idx="42">
                  <c:v>1.763866996922615E-2</c:v>
                </c:pt>
                <c:pt idx="43">
                  <c:v>2.0105014010936693E-2</c:v>
                </c:pt>
                <c:pt idx="44">
                  <c:v>4.1405188587694895E-2</c:v>
                </c:pt>
                <c:pt idx="45">
                  <c:v>9.6584000550597633E-3</c:v>
                </c:pt>
                <c:pt idx="46">
                  <c:v>4.5551628569249152E-2</c:v>
                </c:pt>
                <c:pt idx="47">
                  <c:v>5.1647811116576486E-3</c:v>
                </c:pt>
                <c:pt idx="48">
                  <c:v>1.5482522796352583E-2</c:v>
                </c:pt>
                <c:pt idx="49">
                  <c:v>1.8869353325057538E-2</c:v>
                </c:pt>
                <c:pt idx="50">
                  <c:v>3.0496866317761839E-2</c:v>
                </c:pt>
                <c:pt idx="51">
                  <c:v>7.7104689040973073E-3</c:v>
                </c:pt>
                <c:pt idx="52">
                  <c:v>1.9303688383316097E-2</c:v>
                </c:pt>
                <c:pt idx="53">
                  <c:v>2.401913875598086E-2</c:v>
                </c:pt>
                <c:pt idx="54">
                  <c:v>5.7510404842981457E-3</c:v>
                </c:pt>
                <c:pt idx="55">
                  <c:v>1.3418998048145739E-2</c:v>
                </c:pt>
                <c:pt idx="56">
                  <c:v>1.6233766233766232E-2</c:v>
                </c:pt>
                <c:pt idx="57">
                  <c:v>1.9968741938910215E-2</c:v>
                </c:pt>
                <c:pt idx="58">
                  <c:v>2.0103203612126426E-2</c:v>
                </c:pt>
                <c:pt idx="59">
                  <c:v>-4.4797849703214247E-4</c:v>
                </c:pt>
                <c:pt idx="60">
                  <c:v>1.723930078360458E-2</c:v>
                </c:pt>
                <c:pt idx="61">
                  <c:v>2.8036622583926755E-2</c:v>
                </c:pt>
                <c:pt idx="62">
                  <c:v>2.1790236547285138E-2</c:v>
                </c:pt>
                <c:pt idx="63">
                  <c:v>2.6827071538857435E-2</c:v>
                </c:pt>
                <c:pt idx="64">
                  <c:v>1.0033444816053512E-2</c:v>
                </c:pt>
                <c:pt idx="65">
                  <c:v>4.383457213645893E-3</c:v>
                </c:pt>
                <c:pt idx="66">
                  <c:v>1.5066964285714286E-2</c:v>
                </c:pt>
                <c:pt idx="67">
                  <c:v>1.319571465900183E-2</c:v>
                </c:pt>
                <c:pt idx="68">
                  <c:v>4.7096817600753545E-3</c:v>
                </c:pt>
                <c:pt idx="69">
                  <c:v>4.9680284036882925E-2</c:v>
                </c:pt>
                <c:pt idx="70">
                  <c:v>1.3863404689092763E-2</c:v>
                </c:pt>
                <c:pt idx="71">
                  <c:v>1.1010446920109237E-2</c:v>
                </c:pt>
                <c:pt idx="72">
                  <c:v>5.0822226874142305E-3</c:v>
                </c:pt>
                <c:pt idx="73">
                  <c:v>1.0471445705323369E-2</c:v>
                </c:pt>
                <c:pt idx="74">
                  <c:v>5.8764271323035596E-3</c:v>
                </c:pt>
                <c:pt idx="75">
                  <c:v>6.0193147241698634E-3</c:v>
                </c:pt>
                <c:pt idx="76">
                  <c:v>2.0087336244541485E-2</c:v>
                </c:pt>
                <c:pt idx="77">
                  <c:v>1.4651068383953943E-2</c:v>
                </c:pt>
                <c:pt idx="78">
                  <c:v>6.1416335909755589E-3</c:v>
                </c:pt>
                <c:pt idx="79">
                  <c:v>2.3096686950642327E-2</c:v>
                </c:pt>
                <c:pt idx="80">
                  <c:v>3.8735263412522598E-2</c:v>
                </c:pt>
                <c:pt idx="81">
                  <c:v>2.4326069676010469E-2</c:v>
                </c:pt>
                <c:pt idx="82">
                  <c:v>2.3257229832572297E-2</c:v>
                </c:pt>
              </c:numCache>
            </c:numRef>
          </c:yVal>
          <c:smooth val="1"/>
          <c:extLst>
            <c:ext xmlns:c16="http://schemas.microsoft.com/office/drawing/2014/chart" uri="{C3380CC4-5D6E-409C-BE32-E72D297353CC}">
              <c16:uniqueId val="{00000004-260A-C543-BB7C-970AAE6C8D38}"/>
            </c:ext>
          </c:extLst>
        </c:ser>
        <c:dLbls>
          <c:showLegendKey val="0"/>
          <c:showVal val="0"/>
          <c:showCatName val="0"/>
          <c:showSerName val="0"/>
          <c:showPercent val="0"/>
          <c:showBubbleSize val="0"/>
        </c:dLbls>
        <c:axId val="1902541695"/>
        <c:axId val="1783804159"/>
      </c:scatterChart>
      <c:valAx>
        <c:axId val="1902541695"/>
        <c:scaling>
          <c:orientation val="minMax"/>
          <c:max val="7"/>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804159"/>
        <c:crosses val="autoZero"/>
        <c:crossBetween val="midCat"/>
        <c:minorUnit val="2"/>
      </c:valAx>
      <c:valAx>
        <c:axId val="1783804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54169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57150</xdr:colOff>
      <xdr:row>15</xdr:row>
      <xdr:rowOff>82550</xdr:rowOff>
    </xdr:from>
    <xdr:to>
      <xdr:col>3</xdr:col>
      <xdr:colOff>558800</xdr:colOff>
      <xdr:row>36</xdr:row>
      <xdr:rowOff>139700</xdr:rowOff>
    </xdr:to>
    <xdr:graphicFrame macro="">
      <xdr:nvGraphicFramePr>
        <xdr:cNvPr id="5" name="Chart 4">
          <a:extLst>
            <a:ext uri="{FF2B5EF4-FFF2-40B4-BE49-F238E27FC236}">
              <a16:creationId xmlns:a16="http://schemas.microsoft.com/office/drawing/2014/main" id="{632E077F-A1C2-E01A-7F9E-E0AACB131E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1866900</xdr:colOff>
      <xdr:row>3</xdr:row>
      <xdr:rowOff>12700</xdr:rowOff>
    </xdr:from>
    <xdr:to>
      <xdr:col>6</xdr:col>
      <xdr:colOff>2273300</xdr:colOff>
      <xdr:row>22</xdr:row>
      <xdr:rowOff>12700</xdr:rowOff>
    </xdr:to>
    <xdr:graphicFrame macro="">
      <xdr:nvGraphicFramePr>
        <xdr:cNvPr id="8" name="Chart 8">
          <a:extLst>
            <a:ext uri="{FF2B5EF4-FFF2-40B4-BE49-F238E27FC236}">
              <a16:creationId xmlns:a16="http://schemas.microsoft.com/office/drawing/2014/main" id="{51D7EFF8-2C44-FAA1-6DC2-BD09BE4083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1168400</xdr:colOff>
      <xdr:row>22</xdr:row>
      <xdr:rowOff>127000</xdr:rowOff>
    </xdr:from>
    <xdr:to>
      <xdr:col>5</xdr:col>
      <xdr:colOff>1511300</xdr:colOff>
      <xdr:row>35</xdr:row>
      <xdr:rowOff>79369</xdr:rowOff>
    </xdr:to>
    <mc:AlternateContent xmlns:mc="http://schemas.openxmlformats.org/markup-compatibility/2006">
      <mc:Choice xmlns:a14="http://schemas.microsoft.com/office/drawing/2010/main" Requires="a14">
        <xdr:graphicFrame macro="">
          <xdr:nvGraphicFramePr>
            <xdr:cNvPr id="10" name="Population Growth 2020 to 2024">
              <a:extLst>
                <a:ext uri="{FF2B5EF4-FFF2-40B4-BE49-F238E27FC236}">
                  <a16:creationId xmlns:a16="http://schemas.microsoft.com/office/drawing/2014/main" id="{6B79FD49-275D-2671-E2D7-2BDADD1A71A1}"/>
                </a:ext>
              </a:extLst>
            </xdr:cNvPr>
            <xdr:cNvGraphicFramePr/>
          </xdr:nvGraphicFramePr>
          <xdr:xfrm>
            <a:off x="0" y="0"/>
            <a:ext cx="0" cy="0"/>
          </xdr:xfrm>
          <a:graphic>
            <a:graphicData uri="http://schemas.microsoft.com/office/drawing/2010/slicer">
              <sle:slicer xmlns:sle="http://schemas.microsoft.com/office/drawing/2010/slicer" name="Population Growth 2020 to 2024"/>
            </a:graphicData>
          </a:graphic>
        </xdr:graphicFrame>
      </mc:Choice>
      <mc:Fallback>
        <xdr:sp macro="" textlink="">
          <xdr:nvSpPr>
            <xdr:cNvPr id="0" name=""/>
            <xdr:cNvSpPr>
              <a:spLocks noTextEdit="1"/>
            </xdr:cNvSpPr>
          </xdr:nvSpPr>
          <xdr:spPr>
            <a:xfrm>
              <a:off x="10287000" y="4318000"/>
              <a:ext cx="26416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609600</xdr:colOff>
      <xdr:row>22</xdr:row>
      <xdr:rowOff>114300</xdr:rowOff>
    </xdr:from>
    <xdr:to>
      <xdr:col>4</xdr:col>
      <xdr:colOff>1117600</xdr:colOff>
      <xdr:row>35</xdr:row>
      <xdr:rowOff>66669</xdr:rowOff>
    </xdr:to>
    <mc:AlternateContent xmlns:mc="http://schemas.openxmlformats.org/markup-compatibility/2006">
      <mc:Choice xmlns:a14="http://schemas.microsoft.com/office/drawing/2010/main" Requires="a14">
        <xdr:graphicFrame macro="">
          <xdr:nvGraphicFramePr>
            <xdr:cNvPr id="11" name="Housing Growth 2020 to 2024">
              <a:extLst>
                <a:ext uri="{FF2B5EF4-FFF2-40B4-BE49-F238E27FC236}">
                  <a16:creationId xmlns:a16="http://schemas.microsoft.com/office/drawing/2014/main" id="{4C7A9AD9-F8AF-DB35-83A9-E5C4EA4222AD}"/>
                </a:ext>
              </a:extLst>
            </xdr:cNvPr>
            <xdr:cNvGraphicFramePr/>
          </xdr:nvGraphicFramePr>
          <xdr:xfrm>
            <a:off x="0" y="0"/>
            <a:ext cx="0" cy="0"/>
          </xdr:xfrm>
          <a:graphic>
            <a:graphicData uri="http://schemas.microsoft.com/office/drawing/2010/slicer">
              <sle:slicer xmlns:sle="http://schemas.microsoft.com/office/drawing/2010/slicer" name="Housing Growth 2020 to 2024"/>
            </a:graphicData>
          </a:graphic>
        </xdr:graphicFrame>
      </mc:Choice>
      <mc:Fallback>
        <xdr:sp macro="" textlink="">
          <xdr:nvSpPr>
            <xdr:cNvPr id="0" name=""/>
            <xdr:cNvSpPr>
              <a:spLocks noTextEdit="1"/>
            </xdr:cNvSpPr>
          </xdr:nvSpPr>
          <xdr:spPr>
            <a:xfrm>
              <a:off x="7429500" y="4305300"/>
              <a:ext cx="28067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ssain Sowrob" refreshedDate="45972.885549421298" createdVersion="8" refreshedVersion="8" minRefreshableVersion="3" recordCount="83" xr:uid="{3443A4FC-2A5F-A845-885C-1B09ABAA816A}">
  <cacheSource type="worksheet">
    <worksheetSource ref="A1:M84" sheet="Population Data"/>
  </cacheSource>
  <cacheFields count="13">
    <cacheField name="Demographic area" numFmtId="0">
      <sharedItems count="83">
        <s v=".Alcona County, Michigan"/>
        <s v=".Alger County, Michigan"/>
        <s v=".Allegan County, Michigan"/>
        <s v=".Alpena County, Michigan"/>
        <s v=".Antrim County, Michigan"/>
        <s v=".Arenac County, Michigan"/>
        <s v=".Baraga County, Michigan"/>
        <s v=".Barry County, Michigan"/>
        <s v=".Bay County, Michigan"/>
        <s v=".Benzie County, Michigan"/>
        <s v=".Berrien County, Michigan"/>
        <s v=".Branch County, Michigan"/>
        <s v=".Calhoun County, Michigan"/>
        <s v=".Cass County, Michigan"/>
        <s v=".Charlevoix County, Michigan"/>
        <s v=".Cheboygan County, Michigan"/>
        <s v=".Chippewa County, Michigan"/>
        <s v=".Clare County, Michigan"/>
        <s v=".Clinton County, Michigan"/>
        <s v=".Crawford County, Michigan"/>
        <s v=".Delta County, Michigan"/>
        <s v=".Dickinson County, Michigan"/>
        <s v=".Eaton County, Michigan"/>
        <s v=".Emmet County, Michigan"/>
        <s v=".Genesee County, Michigan"/>
        <s v=".Gladwin County, Michigan"/>
        <s v=".Gogebic County, Michigan"/>
        <s v=".Grand Traverse County, Michigan"/>
        <s v=".Gratiot County, Michigan"/>
        <s v=".Hillsdale County, Michigan"/>
        <s v=".Houghton County, Michigan"/>
        <s v=".Huron County, Michigan"/>
        <s v=".Ingham County, Michigan"/>
        <s v=".Ionia County, Michigan"/>
        <s v=".Iosco County, Michigan"/>
        <s v=".Iron County, Michigan"/>
        <s v=".Isabella County, Michigan"/>
        <s v=".Jackson County, Michigan"/>
        <s v=".Kalamazoo County, Michigan"/>
        <s v=".Kalkaska County, Michigan"/>
        <s v=".Kent County, Michigan"/>
        <s v=".Keweenaw County, Michigan"/>
        <s v=".Lake County, Michigan"/>
        <s v=".Lapeer County, Michigan"/>
        <s v=".Leelanau County, Michigan"/>
        <s v=".Lenawee County, Michigan"/>
        <s v=".Livingston County, Michigan"/>
        <s v=".Luce County, Michigan"/>
        <s v=".Mackinac County, Michigan"/>
        <s v=".Macomb County, Michigan"/>
        <s v=".Manistee County, Michigan"/>
        <s v=".Marquette County, Michigan"/>
        <s v=".Mason County, Michigan"/>
        <s v=".Mecosta County, Michigan"/>
        <s v=".Menominee County, Michigan"/>
        <s v=".Midland County, Michigan"/>
        <s v=".Missaukee County, Michigan"/>
        <s v=".Monroe County, Michigan"/>
        <s v=".Montcalm County, Michigan"/>
        <s v=".Montmorency County, Michigan"/>
        <s v=".Muskegon County, Michigan"/>
        <s v=".Newaygo County, Michigan"/>
        <s v=".Oakland County, Michigan"/>
        <s v=".Oceana County, Michigan"/>
        <s v=".Ogemaw County, Michigan"/>
        <s v=".Ontonagon County, Michigan"/>
        <s v=".Osceola County, Michigan"/>
        <s v=".Oscoda County, Michigan"/>
        <s v=".Otsego County, Michigan"/>
        <s v=".Ottawa County, Michigan"/>
        <s v=".Presque Isle County, Michigan"/>
        <s v=".Roscommon County, Michigan"/>
        <s v=".Saginaw County, Michigan"/>
        <s v=".St. Clair County, Michigan"/>
        <s v=".St. Joseph County, Michigan"/>
        <s v=".Sanilac County, Michigan"/>
        <s v=".Schoolcraft County, Michigan"/>
        <s v=".Shiawassee County, Michigan"/>
        <s v=".Tuscola County, Michigan"/>
        <s v=".Van Buren County, Michigan"/>
        <s v=".Washtenaw County, Michigan"/>
        <s v=".Wayne County, Michigan"/>
        <s v=".Wexford County, Michigan"/>
      </sharedItems>
    </cacheField>
    <cacheField name="2020" numFmtId="3">
      <sharedItems containsSemiMixedTypes="0" containsString="0" containsNumber="1" containsInteger="1" minValue="2059" maxValue="1789655"/>
    </cacheField>
    <cacheField name="2021" numFmtId="3">
      <sharedItems containsSemiMixedTypes="0" containsString="0" containsNumber="1" containsInteger="1" minValue="2108" maxValue="1775196"/>
    </cacheField>
    <cacheField name="2022" numFmtId="3">
      <sharedItems containsSemiMixedTypes="0" containsString="0" containsNumber="1" containsInteger="1" minValue="2151" maxValue="1763011"/>
    </cacheField>
    <cacheField name="2023" numFmtId="3">
      <sharedItems containsSemiMixedTypes="0" containsString="0" containsNumber="1" containsInteger="1" minValue="2181" maxValue="1762371"/>
    </cacheField>
    <cacheField name="2024" numFmtId="3">
      <sharedItems containsSemiMixedTypes="0" containsString="0" containsNumber="1" containsInteger="1" minValue="2161" maxValue="1771063" count="82">
        <n v="10624"/>
        <n v="8695"/>
        <n v="122429"/>
        <n v="28903"/>
        <n v="24536"/>
        <n v="15087"/>
        <n v="8169"/>
        <n v="64025"/>
        <n v="102651"/>
        <n v="18520"/>
        <n v="152703"/>
        <n v="46187"/>
        <n v="133785"/>
        <n v="51550"/>
        <n v="26105"/>
        <n v="25964"/>
        <n v="36253"/>
        <n v="31405"/>
        <n v="80050"/>
        <n v="13599"/>
        <n v="36687"/>
        <n v="25995"/>
        <n v="109494"/>
        <n v="33949"/>
        <n v="402279"/>
        <n v="14217"/>
        <n v="96625"/>
        <n v="41372"/>
        <n v="45590"/>
        <n v="38041"/>
        <n v="30780"/>
        <n v="290427"/>
        <n v="66250"/>
        <n v="25361"/>
        <n v="11709"/>
        <n v="65072"/>
        <n v="160233"/>
        <n v="264780"/>
        <n v="18618"/>
        <n v="673002"/>
        <n v="2161"/>
        <n v="13005"/>
        <n v="89168"/>
        <n v="22871"/>
        <n v="97746"/>
        <n v="196976"/>
        <n v="6328"/>
        <n v="11144"/>
        <n v="886175"/>
        <n v="25519"/>
        <n v="67979"/>
        <n v="29093"/>
        <n v="41947"/>
        <n v="23050"/>
        <n v="84022"/>
        <n v="15239"/>
        <n v="156045"/>
        <n v="69314"/>
        <n v="9828"/>
        <n v="177428"/>
        <n v="51504"/>
        <n v="1296888"/>
        <n v="27014"/>
        <n v="20985"/>
        <n v="5824"/>
        <n v="23484"/>
        <n v="8596"/>
        <n v="26083"/>
        <n v="306235"/>
        <n v="13230"/>
        <n v="23932"/>
        <n v="187714"/>
        <n v="160308"/>
        <n v="61171"/>
        <n v="40293"/>
        <n v="8178"/>
        <n v="67982"/>
        <n v="52757"/>
        <n v="76129"/>
        <n v="373875"/>
        <n v="1771063"/>
        <n v="34460"/>
      </sharedItems>
    </cacheField>
    <cacheField name="Population Growth 2020 to 2024" numFmtId="9">
      <sharedItems containsSemiMixedTypes="0" containsString="0" containsNumber="1" minValue="-1.8870330230779039E-2" maxValue="7.4971069598280704E-2" count="83">
        <n v="4.3102601865488463E-2"/>
        <n v="-1.6291435682769546E-2"/>
        <n v="1.4652621808206463E-2"/>
        <n v="8.3105370684580487E-4"/>
        <n v="4.586530264279625E-2"/>
        <n v="5.1968818708774739E-3"/>
        <n v="3.4393809114359416E-3"/>
        <n v="2.2649224527608734E-2"/>
        <n v="-1.056416089139927E-2"/>
        <n v="2.9289168009781583E-2"/>
        <n v="-1.1157447580070713E-2"/>
        <n v="2.9167966486920095E-2"/>
        <n v="-3.2335213345353491E-3"/>
        <n v="-5.8192539716408353E-5"/>
        <n v="2.6886883042058769E-3"/>
        <n v="1.4813367207348056E-2"/>
        <n v="-1.4515997499116536E-2"/>
        <n v="1.8221314398729049E-2"/>
        <n v="1.1102550176200881E-2"/>
        <n v="4.7124047124047122E-2"/>
        <n v="-5.0713239681076097E-3"/>
        <n v="3.3967653529933996E-3"/>
        <n v="2.7014899403840693E-3"/>
        <n v="-4.8075513733767186E-3"/>
        <n v="-8.6595875236881864E-3"/>
        <n v="2.4635396137169887E-2"/>
        <n v="-8.9920535340861571E-3"/>
        <n v="1.2554098944743103E-2"/>
        <n v="-7.5563125194904887E-3"/>
        <n v="-3.0614476273780888E-3"/>
        <n v="2.1070431608331545E-2"/>
        <n v="-1.8870330230779039E-2"/>
        <n v="1.9017076773552931E-2"/>
        <n v="-9.5827540326800312E-3"/>
        <n v="6.8283774663543614E-3"/>
        <n v="7.7459333849728895E-3"/>
        <n v="8.5398552409293102E-3"/>
        <n v="6.2413011864713558E-5"/>
        <n v="1.1328653165988068E-2"/>
        <n v="3.8429360254336548E-2"/>
        <n v="2.1985531279042222E-2"/>
        <n v="4.953861097620204E-2"/>
        <n v="7.4971069598280704E-2"/>
        <n v="6.5585243884542883E-3"/>
        <n v="2.5237582929890621E-2"/>
        <n v="-1.5827946595783241E-2"/>
        <n v="1.5397780286511091E-2"/>
        <n v="-1.2792511700468018E-2"/>
        <n v="3.0801960965683099E-2"/>
        <n v="6.6807225767754868E-3"/>
        <n v="1.7909852413242919E-2"/>
        <n v="2.1564679009377256E-2"/>
        <n v="1.9285738884871027E-3"/>
        <n v="3.7624301192301986E-2"/>
        <n v="-1.7057569296375266E-2"/>
        <n v="6.3358604912986715E-3"/>
        <n v="1.1415676644322028E-2"/>
        <n v="7.3333376369352325E-3"/>
        <n v="3.9829580401746202E-2"/>
        <n v="7.1755725190839698E-2"/>
        <n v="1.5069167133883314E-2"/>
        <n v="2.8126559536879928E-2"/>
        <n v="1.9144599010157748E-2"/>
        <n v="1.1154364425812247E-2"/>
        <n v="9.6223237911955729E-3"/>
        <n v="3.6188178528347406E-3"/>
        <n v="2.5412627718103223E-2"/>
        <n v="4.3837279902853674E-2"/>
        <n v="3.7716331808235526E-2"/>
        <n v="3.1445036864388223E-2"/>
        <n v="1.7770597738287562E-2"/>
        <n v="1.9901981674834861E-2"/>
        <n v="-1.1422823528172612E-2"/>
        <n v="-5.3617965759317676E-4"/>
        <n v="3.7576712283810838E-3"/>
        <n v="-5.2093620383172031E-3"/>
        <n v="1.5017996772992429E-2"/>
        <n v="-3.2351038174225044E-4"/>
        <n v="-1.0391851587852413E-2"/>
        <n v="7.4504406743773656E-3"/>
        <n v="5.4484481604091988E-3"/>
        <n v="-1.0388594449768251E-2"/>
        <n v="2.2885808424114695E-2"/>
      </sharedItems>
    </cacheField>
    <cacheField name="Housing 2020" numFmtId="0">
      <sharedItems containsSemiMixedTypes="0" containsString="0" containsNumber="1" containsInteger="1" minValue="2272" maxValue="791291"/>
    </cacheField>
    <cacheField name="Housing 2021" numFmtId="0">
      <sharedItems containsSemiMixedTypes="0" containsString="0" containsNumber="1" containsInteger="1" minValue="2286" maxValue="795635"/>
    </cacheField>
    <cacheField name="Housing 2022" numFmtId="0">
      <sharedItems containsSemiMixedTypes="0" containsString="0" containsNumber="1" containsInteger="1" minValue="2302" maxValue="801235"/>
    </cacheField>
    <cacheField name="Housing 2023" numFmtId="0">
      <sharedItems containsSemiMixedTypes="0" containsString="0" containsNumber="1" containsInteger="1" minValue="2320" maxValue="806590"/>
    </cacheField>
    <cacheField name="Housing 2024" numFmtId="0">
      <sharedItems containsSemiMixedTypes="0" containsString="0" containsNumber="1" containsInteger="1" minValue="2338" maxValue="810540"/>
    </cacheField>
    <cacheField name="Housing Growth 2020 to 2024" numFmtId="9">
      <sharedItems containsSemiMixedTypes="0" containsString="0" containsNumber="1" minValue="-4.4797849703214247E-4" maxValue="6.0916563450061932E-2" count="83">
        <n v="1.3829372808726139E-2"/>
        <n v="1.5392093324692158E-2"/>
        <n v="3.1054224415444222E-2"/>
        <n v="5.6883548510801487E-3"/>
        <n v="1.9482738976871368E-2"/>
        <n v="7.6801683324566015E-3"/>
        <n v="8.9073634204275536E-3"/>
        <n v="2.6243749315618497E-2"/>
        <n v="2.3680092249402851E-3"/>
        <n v="3.7804374742055301E-2"/>
        <n v="1.1815839471150093E-2"/>
        <n v="2.3355484927284984E-2"/>
        <n v="3.6968576709796672E-3"/>
        <n v="2.5205436156763589E-2"/>
        <n v="2.4094316946145482E-2"/>
        <n v="1.7404614774080163E-2"/>
        <n v="1.0006408044560556E-2"/>
        <n v="1.4519305638254019E-2"/>
        <n v="2.2591139894797652E-2"/>
        <n v="2.9463759575721862E-2"/>
        <n v="4.9524964625025265E-3"/>
        <n v="6.6815144766146995E-3"/>
        <n v="9.5973733504514554E-3"/>
        <n v="2.1073412607318306E-2"/>
        <n v="7.4132707372328516E-3"/>
        <n v="2.1455666192508299E-2"/>
        <n v="1.4432791301837776E-3"/>
        <n v="4.9561030869442087E-2"/>
        <n v="7.8587912430611861E-3"/>
        <n v="1.200373657169547E-2"/>
        <n v="3.0317664734921656E-2"/>
        <n v="4.0354330708661417E-3"/>
        <n v="1.4552185221234701E-2"/>
        <n v="1.4755360979366817E-2"/>
        <n v="1.5253725332259363E-2"/>
        <n v="6.0916563450061932E-2"/>
        <n v="1.0383414599922825E-2"/>
        <n v="6.1219173324070855E-3"/>
        <n v="1.4332898206635537E-2"/>
        <n v="1.7101399205389532E-2"/>
        <n v="2.8149018455965145E-2"/>
        <n v="2.9049295774647887E-2"/>
        <n v="1.763866996922615E-2"/>
        <n v="2.0105014010936693E-2"/>
        <n v="4.1405188587694895E-2"/>
        <n v="9.6584000550597633E-3"/>
        <n v="4.5551628569249152E-2"/>
        <n v="5.1647811116576486E-3"/>
        <n v="1.5482522796352583E-2"/>
        <n v="1.8869353325057538E-2"/>
        <n v="3.0496866317761839E-2"/>
        <n v="7.7104689040973073E-3"/>
        <n v="1.9303688383316097E-2"/>
        <n v="2.401913875598086E-2"/>
        <n v="5.7510404842981457E-3"/>
        <n v="1.3418998048145739E-2"/>
        <n v="1.6233766233766232E-2"/>
        <n v="1.9968741938910215E-2"/>
        <n v="2.0103203612126426E-2"/>
        <n v="-4.4797849703214247E-4"/>
        <n v="1.723930078360458E-2"/>
        <n v="2.8036622583926755E-2"/>
        <n v="2.1790236547285138E-2"/>
        <n v="2.6827071538857435E-2"/>
        <n v="1.0033444816053512E-2"/>
        <n v="4.383457213645893E-3"/>
        <n v="1.5066964285714286E-2"/>
        <n v="1.319571465900183E-2"/>
        <n v="4.7096817600753545E-3"/>
        <n v="4.9680284036882925E-2"/>
        <n v="1.3863404689092763E-2"/>
        <n v="1.1010446920109237E-2"/>
        <n v="5.0822226874142305E-3"/>
        <n v="2.0087336244541485E-2"/>
        <n v="1.4651068383953943E-2"/>
        <n v="1.0471445705323369E-2"/>
        <n v="5.8764271323035596E-3"/>
        <n v="6.0193147241698634E-3"/>
        <n v="6.1416335909755589E-3"/>
        <n v="2.3096686950642327E-2"/>
        <n v="3.8735263412522598E-2"/>
        <n v="2.4326069676010469E-2"/>
        <n v="2.3257229832572297E-2"/>
      </sharedItems>
    </cacheField>
  </cacheFields>
  <extLst>
    <ext xmlns:x14="http://schemas.microsoft.com/office/spreadsheetml/2009/9/main" uri="{725AE2AE-9491-48be-B2B4-4EB974FC3084}">
      <x14:pivotCacheDefinition pivotCacheId="19601766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
  <r>
    <x v="0"/>
    <n v="10185"/>
    <n v="10285"/>
    <n v="10375"/>
    <n v="10513"/>
    <x v="0"/>
    <x v="0"/>
    <n v="10268"/>
    <n v="10297"/>
    <n v="10338"/>
    <n v="10379"/>
    <n v="10410"/>
    <x v="0"/>
  </r>
  <r>
    <x v="1"/>
    <n v="8839"/>
    <n v="8770"/>
    <n v="8767"/>
    <n v="8740"/>
    <x v="1"/>
    <x v="1"/>
    <n v="6172"/>
    <n v="6187"/>
    <n v="6216"/>
    <n v="6241"/>
    <n v="6267"/>
    <x v="1"/>
  </r>
  <r>
    <x v="2"/>
    <n v="120661"/>
    <n v="121055"/>
    <n v="121262"/>
    <n v="121874"/>
    <x v="2"/>
    <x v="2"/>
    <n v="51877"/>
    <n v="52260"/>
    <n v="52602"/>
    <n v="53066"/>
    <n v="53488"/>
    <x v="2"/>
  </r>
  <r>
    <x v="3"/>
    <n v="28879"/>
    <n v="28933"/>
    <n v="28813"/>
    <n v="28870"/>
    <x v="3"/>
    <x v="3"/>
    <n v="15646"/>
    <n v="15662"/>
    <n v="15681"/>
    <n v="15703"/>
    <n v="15735"/>
    <x v="3"/>
  </r>
  <r>
    <x v="4"/>
    <n v="23460"/>
    <n v="23877"/>
    <n v="24296"/>
    <n v="24466"/>
    <x v="4"/>
    <x v="4"/>
    <n v="17554"/>
    <n v="17629"/>
    <n v="17723"/>
    <n v="17814"/>
    <n v="17896"/>
    <x v="4"/>
  </r>
  <r>
    <x v="5"/>
    <n v="15009"/>
    <n v="15023"/>
    <n v="15115"/>
    <n v="15152"/>
    <x v="5"/>
    <x v="5"/>
    <n v="9505"/>
    <n v="9520"/>
    <n v="9547"/>
    <n v="9565"/>
    <n v="9578"/>
    <x v="5"/>
  </r>
  <r>
    <x v="6"/>
    <n v="8141"/>
    <n v="8231"/>
    <n v="8194"/>
    <n v="8222"/>
    <x v="6"/>
    <x v="6"/>
    <n v="5052"/>
    <n v="5065"/>
    <n v="5072"/>
    <n v="5085"/>
    <n v="5097"/>
    <x v="6"/>
  </r>
  <r>
    <x v="7"/>
    <n v="62607"/>
    <n v="63141"/>
    <n v="63389"/>
    <n v="63881"/>
    <x v="7"/>
    <x v="7"/>
    <n v="27397"/>
    <n v="27572"/>
    <n v="27796"/>
    <n v="27983"/>
    <n v="28116"/>
    <x v="7"/>
  </r>
  <r>
    <x v="8"/>
    <n v="103747"/>
    <n v="103116"/>
    <n v="102754"/>
    <n v="102774"/>
    <x v="8"/>
    <x v="8"/>
    <n v="48564"/>
    <n v="48650"/>
    <n v="48680"/>
    <n v="48701"/>
    <n v="48679"/>
    <x v="8"/>
  </r>
  <r>
    <x v="9"/>
    <n v="17993"/>
    <n v="18240"/>
    <n v="18336"/>
    <n v="18460"/>
    <x v="9"/>
    <x v="9"/>
    <n v="12115"/>
    <n v="12200"/>
    <n v="12305"/>
    <n v="12448"/>
    <n v="12573"/>
    <x v="9"/>
  </r>
  <r>
    <x v="10"/>
    <n v="154426"/>
    <n v="153598"/>
    <n v="153064"/>
    <n v="152651"/>
    <x v="10"/>
    <x v="10"/>
    <n v="76846"/>
    <n v="77028"/>
    <n v="77284"/>
    <n v="77495"/>
    <n v="77754"/>
    <x v="10"/>
  </r>
  <r>
    <x v="11"/>
    <n v="44878"/>
    <n v="45209"/>
    <n v="44612"/>
    <n v="45613"/>
    <x v="11"/>
    <x v="11"/>
    <n v="20766"/>
    <n v="20807"/>
    <n v="20855"/>
    <n v="21214"/>
    <n v="21251"/>
    <x v="11"/>
  </r>
  <r>
    <x v="12"/>
    <n v="134219"/>
    <n v="133905"/>
    <n v="133475"/>
    <n v="133505"/>
    <x v="12"/>
    <x v="12"/>
    <n v="59510"/>
    <n v="59552"/>
    <n v="59617"/>
    <n v="59666"/>
    <n v="59730"/>
    <x v="12"/>
  </r>
  <r>
    <x v="13"/>
    <n v="51553"/>
    <n v="51523"/>
    <n v="51409"/>
    <n v="51566"/>
    <x v="13"/>
    <x v="13"/>
    <n v="25312"/>
    <n v="25567"/>
    <n v="25690"/>
    <n v="25836"/>
    <n v="25950"/>
    <x v="13"/>
  </r>
  <r>
    <x v="14"/>
    <n v="26035"/>
    <n v="26192"/>
    <n v="26117"/>
    <n v="26089"/>
    <x v="14"/>
    <x v="14"/>
    <n v="17473"/>
    <n v="17573"/>
    <n v="17685"/>
    <n v="17799"/>
    <n v="17894"/>
    <x v="14"/>
  </r>
  <r>
    <x v="15"/>
    <n v="25585"/>
    <n v="25746"/>
    <n v="25946"/>
    <n v="26078"/>
    <x v="15"/>
    <x v="15"/>
    <n v="17639"/>
    <n v="17702"/>
    <n v="17779"/>
    <n v="17882"/>
    <n v="17946"/>
    <x v="15"/>
  </r>
  <r>
    <x v="16"/>
    <n v="36787"/>
    <n v="35861"/>
    <n v="36236"/>
    <n v="36340"/>
    <x v="16"/>
    <x v="16"/>
    <n v="20287"/>
    <n v="20321"/>
    <n v="20376"/>
    <n v="20419"/>
    <n v="20490"/>
    <x v="16"/>
  </r>
  <r>
    <x v="17"/>
    <n v="30843"/>
    <n v="31143"/>
    <n v="31321"/>
    <n v="31376"/>
    <x v="17"/>
    <x v="17"/>
    <n v="21833"/>
    <n v="21924"/>
    <n v="22007"/>
    <n v="22094"/>
    <n v="22150"/>
    <x v="17"/>
  </r>
  <r>
    <x v="18"/>
    <n v="79171"/>
    <n v="79432"/>
    <n v="79652"/>
    <n v="79823"/>
    <x v="18"/>
    <x v="18"/>
    <n v="32889"/>
    <n v="33210"/>
    <n v="33387"/>
    <n v="33507"/>
    <n v="33632"/>
    <x v="18"/>
  </r>
  <r>
    <x v="19"/>
    <n v="12987"/>
    <n v="13271"/>
    <n v="13431"/>
    <n v="13557"/>
    <x v="19"/>
    <x v="19"/>
    <n v="10182"/>
    <n v="10224"/>
    <n v="10270"/>
    <n v="10449"/>
    <n v="10482"/>
    <x v="19"/>
  </r>
  <r>
    <x v="20"/>
    <n v="36874"/>
    <n v="36838"/>
    <n v="36818"/>
    <n v="36846"/>
    <x v="20"/>
    <x v="20"/>
    <n v="19788"/>
    <n v="19812"/>
    <n v="19841"/>
    <n v="19869"/>
    <n v="19886"/>
    <x v="20"/>
  </r>
  <r>
    <x v="21"/>
    <n v="25907"/>
    <n v="25824"/>
    <n v="25977"/>
    <n v="26069"/>
    <x v="21"/>
    <x v="21"/>
    <n v="13919"/>
    <n v="13939"/>
    <n v="13961"/>
    <n v="13985"/>
    <n v="14012"/>
    <x v="21"/>
  </r>
  <r>
    <x v="22"/>
    <n v="109199"/>
    <n v="108921"/>
    <n v="108962"/>
    <n v="109072"/>
    <x v="22"/>
    <x v="22"/>
    <n v="47513"/>
    <n v="47612"/>
    <n v="47709"/>
    <n v="47892"/>
    <n v="47969"/>
    <x v="22"/>
  </r>
  <r>
    <x v="23"/>
    <n v="34113"/>
    <n v="34303"/>
    <n v="34204"/>
    <n v="34039"/>
    <x v="23"/>
    <x v="23"/>
    <n v="21781"/>
    <n v="21855"/>
    <n v="21983"/>
    <n v="22105"/>
    <n v="22240"/>
    <x v="23"/>
  </r>
  <r>
    <x v="24"/>
    <n v="405793"/>
    <n v="404713"/>
    <n v="402031"/>
    <n v="401711"/>
    <x v="24"/>
    <x v="24"/>
    <n v="183185"/>
    <n v="183570"/>
    <n v="183995"/>
    <n v="184315"/>
    <n v="184543"/>
    <x v="24"/>
  </r>
  <r>
    <x v="25"/>
    <n v="25370"/>
    <n v="25475"/>
    <n v="25667"/>
    <n v="25959"/>
    <x v="21"/>
    <x v="25"/>
    <n v="16872"/>
    <n v="16957"/>
    <n v="17057"/>
    <n v="17151"/>
    <n v="17234"/>
    <x v="25"/>
  </r>
  <r>
    <x v="26"/>
    <n v="14346"/>
    <n v="14372"/>
    <n v="14399"/>
    <n v="14263"/>
    <x v="25"/>
    <x v="26"/>
    <n v="10393"/>
    <n v="10395"/>
    <n v="10392"/>
    <n v="10396"/>
    <n v="10408"/>
    <x v="26"/>
  </r>
  <r>
    <x v="27"/>
    <n v="95427"/>
    <n v="95985"/>
    <n v="96337"/>
    <n v="96457"/>
    <x v="26"/>
    <x v="27"/>
    <n v="45903"/>
    <n v="46352"/>
    <n v="46892"/>
    <n v="47588"/>
    <n v="48178"/>
    <x v="27"/>
  </r>
  <r>
    <x v="28"/>
    <n v="41687"/>
    <n v="41298"/>
    <n v="41134"/>
    <n v="41434"/>
    <x v="27"/>
    <x v="28"/>
    <n v="16033"/>
    <n v="16060"/>
    <n v="16098"/>
    <n v="16131"/>
    <n v="16159"/>
    <x v="28"/>
  </r>
  <r>
    <x v="29"/>
    <n v="45730"/>
    <n v="45622"/>
    <n v="45714"/>
    <n v="45616"/>
    <x v="28"/>
    <x v="29"/>
    <n v="21410"/>
    <n v="21477"/>
    <n v="21542"/>
    <n v="21594"/>
    <n v="21667"/>
    <x v="29"/>
  </r>
  <r>
    <x v="30"/>
    <n v="37256"/>
    <n v="37528"/>
    <n v="37792"/>
    <n v="37847"/>
    <x v="29"/>
    <x v="30"/>
    <n v="18636"/>
    <n v="18663"/>
    <n v="18805"/>
    <n v="19112"/>
    <n v="19201"/>
    <x v="30"/>
  </r>
  <r>
    <x v="31"/>
    <n v="31372"/>
    <n v="31319"/>
    <n v="31150"/>
    <n v="30943"/>
    <x v="30"/>
    <x v="31"/>
    <n v="20320"/>
    <n v="20338"/>
    <n v="20360"/>
    <n v="20380"/>
    <n v="20402"/>
    <x v="31"/>
  </r>
  <r>
    <x v="32"/>
    <n v="285007"/>
    <n v="271662"/>
    <n v="284761"/>
    <n v="287710"/>
    <x v="31"/>
    <x v="32"/>
    <n v="125342"/>
    <n v="125763"/>
    <n v="126276"/>
    <n v="126699"/>
    <n v="127166"/>
    <x v="32"/>
  </r>
  <r>
    <x v="33"/>
    <n v="66891"/>
    <n v="66853"/>
    <n v="66774"/>
    <n v="66104"/>
    <x v="32"/>
    <x v="33"/>
    <n v="24669"/>
    <n v="24742"/>
    <n v="24849"/>
    <n v="24942"/>
    <n v="25033"/>
    <x v="33"/>
  </r>
  <r>
    <x v="34"/>
    <n v="25189"/>
    <n v="25362"/>
    <n v="25460"/>
    <n v="25361"/>
    <x v="33"/>
    <x v="34"/>
    <n v="19864"/>
    <n v="19918"/>
    <n v="20093"/>
    <n v="20127"/>
    <n v="20167"/>
    <x v="34"/>
  </r>
  <r>
    <x v="35"/>
    <n v="11619"/>
    <n v="11597"/>
    <n v="11686"/>
    <n v="11722"/>
    <x v="34"/>
    <x v="35"/>
    <n v="8881"/>
    <n v="9005"/>
    <n v="9149"/>
    <n v="9288"/>
    <n v="9422"/>
    <x v="35"/>
  </r>
  <r>
    <x v="36"/>
    <n v="64521"/>
    <n v="64264"/>
    <n v="64483"/>
    <n v="64485"/>
    <x v="35"/>
    <x v="36"/>
    <n v="28507"/>
    <n v="28613"/>
    <n v="28679"/>
    <n v="28746"/>
    <n v="28803"/>
    <x v="36"/>
  </r>
  <r>
    <x v="37"/>
    <n v="160223"/>
    <n v="160181"/>
    <n v="159828"/>
    <n v="159835"/>
    <x v="36"/>
    <x v="37"/>
    <n v="69096"/>
    <n v="69205"/>
    <n v="69337"/>
    <n v="69433"/>
    <n v="69519"/>
    <x v="37"/>
  </r>
  <r>
    <x v="38"/>
    <n v="261814"/>
    <n v="260566"/>
    <n v="261417"/>
    <n v="263297"/>
    <x v="37"/>
    <x v="38"/>
    <n v="114143"/>
    <n v="114528"/>
    <n v="114842"/>
    <n v="115192"/>
    <n v="115779"/>
    <x v="38"/>
  </r>
  <r>
    <x v="39"/>
    <n v="17929"/>
    <n v="17994"/>
    <n v="18230"/>
    <n v="18422"/>
    <x v="38"/>
    <x v="39"/>
    <n v="11578"/>
    <n v="11627"/>
    <n v="11682"/>
    <n v="11735"/>
    <n v="11776"/>
    <x v="39"/>
  </r>
  <r>
    <x v="40"/>
    <n v="658524"/>
    <n v="658979"/>
    <n v="660134"/>
    <n v="665109"/>
    <x v="39"/>
    <x v="40"/>
    <n v="265551"/>
    <n v="266995"/>
    <n v="268921"/>
    <n v="271327"/>
    <n v="273026"/>
    <x v="40"/>
  </r>
  <r>
    <x v="41"/>
    <n v="2059"/>
    <n v="2108"/>
    <n v="2151"/>
    <n v="2181"/>
    <x v="40"/>
    <x v="41"/>
    <n v="2272"/>
    <n v="2286"/>
    <n v="2302"/>
    <n v="2320"/>
    <n v="2338"/>
    <x v="41"/>
  </r>
  <r>
    <x v="42"/>
    <n v="12098"/>
    <n v="12281"/>
    <n v="12665"/>
    <n v="12766"/>
    <x v="41"/>
    <x v="42"/>
    <n v="13323"/>
    <n v="13376"/>
    <n v="13440"/>
    <n v="13510"/>
    <n v="13558"/>
    <x v="42"/>
  </r>
  <r>
    <x v="43"/>
    <n v="88587"/>
    <n v="88667"/>
    <n v="88701"/>
    <n v="89060"/>
    <x v="42"/>
    <x v="43"/>
    <n v="36757"/>
    <n v="36943"/>
    <n v="37182"/>
    <n v="37373"/>
    <n v="37496"/>
    <x v="43"/>
  </r>
  <r>
    <x v="44"/>
    <n v="22308"/>
    <n v="22630"/>
    <n v="22891"/>
    <n v="22970"/>
    <x v="43"/>
    <x v="44"/>
    <n v="15457"/>
    <n v="15564"/>
    <n v="15736"/>
    <n v="15903"/>
    <n v="16097"/>
    <x v="44"/>
  </r>
  <r>
    <x v="45"/>
    <n v="99318"/>
    <n v="99105"/>
    <n v="98284"/>
    <n v="97621"/>
    <x v="44"/>
    <x v="45"/>
    <n v="43589"/>
    <n v="43699"/>
    <n v="43828"/>
    <n v="43924"/>
    <n v="44010"/>
    <x v="45"/>
  </r>
  <r>
    <x v="46"/>
    <n v="193989"/>
    <n v="195344"/>
    <n v="196083"/>
    <n v="196772"/>
    <x v="45"/>
    <x v="46"/>
    <n v="78658"/>
    <n v="79306"/>
    <n v="80151"/>
    <n v="81297"/>
    <n v="82241"/>
    <x v="46"/>
  </r>
  <r>
    <x v="47"/>
    <n v="6410"/>
    <n v="5976"/>
    <n v="6254"/>
    <n v="6389"/>
    <x v="46"/>
    <x v="47"/>
    <n v="4066"/>
    <n v="4069"/>
    <n v="4073"/>
    <n v="4080"/>
    <n v="4087"/>
    <x v="47"/>
  </r>
  <r>
    <x v="48"/>
    <n v="10811"/>
    <n v="10906"/>
    <n v="10983"/>
    <n v="10942"/>
    <x v="47"/>
    <x v="48"/>
    <n v="10528"/>
    <n v="10556"/>
    <n v="10607"/>
    <n v="10651"/>
    <n v="10691"/>
    <x v="48"/>
  </r>
  <r>
    <x v="49"/>
    <n v="880294"/>
    <n v="877789"/>
    <n v="875735"/>
    <n v="879271"/>
    <x v="48"/>
    <x v="49"/>
    <n v="369753"/>
    <n v="371729"/>
    <n v="373561"/>
    <n v="375315"/>
    <n v="376730"/>
    <x v="49"/>
  </r>
  <r>
    <x v="50"/>
    <n v="25070"/>
    <n v="25340"/>
    <n v="25334"/>
    <n v="25485"/>
    <x v="49"/>
    <x v="50"/>
    <n v="15477"/>
    <n v="15590"/>
    <n v="15718"/>
    <n v="15836"/>
    <n v="15949"/>
    <x v="50"/>
  </r>
  <r>
    <x v="51"/>
    <n v="66544"/>
    <n v="66278"/>
    <n v="67103"/>
    <n v="67654"/>
    <x v="50"/>
    <x v="51"/>
    <n v="33461"/>
    <n v="33515"/>
    <n v="33598"/>
    <n v="33664"/>
    <n v="33719"/>
    <x v="51"/>
  </r>
  <r>
    <x v="52"/>
    <n v="29037"/>
    <n v="29350"/>
    <n v="29357"/>
    <n v="29199"/>
    <x v="51"/>
    <x v="52"/>
    <n v="17406"/>
    <n v="17494"/>
    <n v="17598"/>
    <n v="17669"/>
    <n v="17742"/>
    <x v="52"/>
  </r>
  <r>
    <x v="53"/>
    <n v="40426"/>
    <n v="40692"/>
    <n v="41424"/>
    <n v="41722"/>
    <x v="52"/>
    <x v="53"/>
    <n v="20900"/>
    <n v="21006"/>
    <n v="21116"/>
    <n v="21273"/>
    <n v="21402"/>
    <x v="53"/>
  </r>
  <r>
    <x v="54"/>
    <n v="23450"/>
    <n v="23325"/>
    <n v="23289"/>
    <n v="23123"/>
    <x v="53"/>
    <x v="54"/>
    <n v="13215"/>
    <n v="13235"/>
    <n v="13258"/>
    <n v="13279"/>
    <n v="13291"/>
    <x v="54"/>
  </r>
  <r>
    <x v="55"/>
    <n v="83493"/>
    <n v="83504"/>
    <n v="83761"/>
    <n v="84007"/>
    <x v="54"/>
    <x v="55"/>
    <n v="36888"/>
    <n v="36976"/>
    <n v="37128"/>
    <n v="37250"/>
    <n v="37383"/>
    <x v="55"/>
  </r>
  <r>
    <x v="56"/>
    <n v="15067"/>
    <n v="15176"/>
    <n v="15228"/>
    <n v="15325"/>
    <x v="55"/>
    <x v="56"/>
    <n v="8624"/>
    <n v="8655"/>
    <n v="8692"/>
    <n v="8727"/>
    <n v="8764"/>
    <x v="56"/>
  </r>
  <r>
    <x v="57"/>
    <n v="154909"/>
    <n v="155569"/>
    <n v="155412"/>
    <n v="155590"/>
    <x v="56"/>
    <x v="57"/>
    <n v="65903"/>
    <n v="66188"/>
    <n v="66671"/>
    <n v="66919"/>
    <n v="67219"/>
    <x v="57"/>
  </r>
  <r>
    <x v="58"/>
    <n v="66659"/>
    <n v="67361"/>
    <n v="67317"/>
    <n v="68431"/>
    <x v="57"/>
    <x v="58"/>
    <n v="27906"/>
    <n v="27952"/>
    <n v="28119"/>
    <n v="28291"/>
    <n v="28467"/>
    <x v="58"/>
  </r>
  <r>
    <x v="59"/>
    <n v="9170"/>
    <n v="9304"/>
    <n v="9563"/>
    <n v="9714"/>
    <x v="58"/>
    <x v="59"/>
    <n v="8929"/>
    <n v="8928"/>
    <n v="8929"/>
    <n v="8929"/>
    <n v="8925"/>
    <x v="59"/>
  </r>
  <r>
    <x v="60"/>
    <n v="174794"/>
    <n v="175581"/>
    <n v="175526"/>
    <n v="176476"/>
    <x v="59"/>
    <x v="60"/>
    <n v="74655"/>
    <n v="74884"/>
    <n v="75182"/>
    <n v="75693"/>
    <n v="75942"/>
    <x v="60"/>
  </r>
  <r>
    <x v="61"/>
    <n v="50095"/>
    <n v="50401"/>
    <n v="50771"/>
    <n v="51189"/>
    <x v="60"/>
    <x v="61"/>
    <n v="24575"/>
    <n v="24722"/>
    <n v="24916"/>
    <n v="25105"/>
    <n v="25264"/>
    <x v="61"/>
  </r>
  <r>
    <x v="62"/>
    <n v="1272526"/>
    <n v="1272776"/>
    <n v="1275098"/>
    <n v="1281836"/>
    <x v="61"/>
    <x v="62"/>
    <n v="555111"/>
    <n v="558186"/>
    <n v="561501"/>
    <n v="564636"/>
    <n v="567207"/>
    <x v="62"/>
  </r>
  <r>
    <x v="63"/>
    <n v="26716"/>
    <n v="26873"/>
    <n v="26964"/>
    <n v="27010"/>
    <x v="62"/>
    <x v="63"/>
    <n v="15544"/>
    <n v="15650"/>
    <n v="15695"/>
    <n v="15813"/>
    <n v="15961"/>
    <x v="63"/>
  </r>
  <r>
    <x v="64"/>
    <n v="20785"/>
    <n v="20781"/>
    <n v="20890"/>
    <n v="20983"/>
    <x v="63"/>
    <x v="64"/>
    <n v="15249"/>
    <n v="15268"/>
    <n v="15313"/>
    <n v="15354"/>
    <n v="15402"/>
    <x v="64"/>
  </r>
  <r>
    <x v="65"/>
    <n v="5803"/>
    <n v="5872"/>
    <n v="5895"/>
    <n v="5857"/>
    <x v="64"/>
    <x v="65"/>
    <n v="5247"/>
    <n v="5251"/>
    <n v="5257"/>
    <n v="5264"/>
    <n v="5270"/>
    <x v="65"/>
  </r>
  <r>
    <x v="66"/>
    <n v="22902"/>
    <n v="23190"/>
    <n v="23257"/>
    <n v="23289"/>
    <x v="65"/>
    <x v="66"/>
    <n v="12544"/>
    <n v="12599"/>
    <n v="12663"/>
    <n v="12719"/>
    <n v="12733"/>
    <x v="66"/>
  </r>
  <r>
    <x v="67"/>
    <n v="8235"/>
    <n v="8322"/>
    <n v="8400"/>
    <n v="8572"/>
    <x v="66"/>
    <x v="67"/>
    <n v="7654"/>
    <n v="7674"/>
    <n v="7700"/>
    <n v="7734"/>
    <n v="7755"/>
    <x v="67"/>
  </r>
  <r>
    <x v="68"/>
    <n v="25135"/>
    <n v="25335"/>
    <n v="25583"/>
    <n v="25785"/>
    <x v="67"/>
    <x v="68"/>
    <n v="14863"/>
    <n v="14879"/>
    <n v="14900"/>
    <n v="14919"/>
    <n v="14933"/>
    <x v="68"/>
  </r>
  <r>
    <x v="69"/>
    <n v="296899"/>
    <n v="298394"/>
    <n v="300910"/>
    <n v="303575"/>
    <x v="68"/>
    <x v="69"/>
    <n v="114633"/>
    <n v="116189"/>
    <n v="117687"/>
    <n v="119133"/>
    <n v="120328"/>
    <x v="69"/>
  </r>
  <r>
    <x v="70"/>
    <n v="12999"/>
    <n v="13174"/>
    <n v="13357"/>
    <n v="13278"/>
    <x v="69"/>
    <x v="70"/>
    <n v="9810"/>
    <n v="9838"/>
    <n v="9878"/>
    <n v="9912"/>
    <n v="9946"/>
    <x v="70"/>
  </r>
  <r>
    <x v="71"/>
    <n v="23465"/>
    <n v="23651"/>
    <n v="23711"/>
    <n v="23920"/>
    <x v="70"/>
    <x v="71"/>
    <n v="23069"/>
    <n v="23133"/>
    <n v="23202"/>
    <n v="23260"/>
    <n v="23323"/>
    <x v="71"/>
  </r>
  <r>
    <x v="72"/>
    <n v="189883"/>
    <n v="189533"/>
    <n v="188425"/>
    <n v="187769"/>
    <x v="71"/>
    <x v="72"/>
    <n v="85986"/>
    <n v="86141"/>
    <n v="86251"/>
    <n v="86339"/>
    <n v="86423"/>
    <x v="72"/>
  </r>
  <r>
    <x v="73"/>
    <n v="160394"/>
    <n v="160243"/>
    <n v="159882"/>
    <n v="160280"/>
    <x v="72"/>
    <x v="73"/>
    <n v="72135"/>
    <n v="72384"/>
    <n v="72798"/>
    <n v="73260"/>
    <n v="73584"/>
    <x v="73"/>
  </r>
  <r>
    <x v="74"/>
    <n v="60942"/>
    <n v="60857"/>
    <n v="60814"/>
    <n v="61062"/>
    <x v="73"/>
    <x v="74"/>
    <n v="27097"/>
    <n v="27193"/>
    <n v="27272"/>
    <n v="27390"/>
    <n v="27494"/>
    <x v="74"/>
  </r>
  <r>
    <x v="75"/>
    <n v="40504"/>
    <n v="40545"/>
    <n v="40536"/>
    <n v="40434"/>
    <x v="74"/>
    <x v="75"/>
    <n v="21678"/>
    <n v="21711"/>
    <n v="21771"/>
    <n v="21851"/>
    <n v="21905"/>
    <x v="75"/>
  </r>
  <r>
    <x v="76"/>
    <n v="8057"/>
    <n v="8048"/>
    <n v="8189"/>
    <n v="8167"/>
    <x v="75"/>
    <x v="76"/>
    <n v="5956"/>
    <n v="5965"/>
    <n v="5976"/>
    <n v="5985"/>
    <n v="5991"/>
    <x v="76"/>
  </r>
  <r>
    <x v="77"/>
    <n v="68004"/>
    <n v="67992"/>
    <n v="67970"/>
    <n v="68005"/>
    <x v="76"/>
    <x v="77"/>
    <n v="30236"/>
    <n v="30289"/>
    <n v="30328"/>
    <n v="30384"/>
    <n v="30418"/>
    <x v="77"/>
  </r>
  <r>
    <x v="78"/>
    <n v="53311"/>
    <n v="53043"/>
    <n v="52932"/>
    <n v="52856"/>
    <x v="77"/>
    <x v="78"/>
    <n v="23935"/>
    <n v="23968"/>
    <n v="23997"/>
    <n v="24049"/>
    <n v="24082"/>
    <x v="78"/>
  </r>
  <r>
    <x v="79"/>
    <n v="75566"/>
    <n v="75685"/>
    <n v="75690"/>
    <n v="75905"/>
    <x v="78"/>
    <x v="79"/>
    <n v="36975"/>
    <n v="37164"/>
    <n v="37431"/>
    <n v="37626"/>
    <n v="37829"/>
    <x v="79"/>
  </r>
  <r>
    <x v="80"/>
    <n v="371849"/>
    <n v="365041"/>
    <n v="367947"/>
    <n v="370398"/>
    <x v="79"/>
    <x v="80"/>
    <n v="157092"/>
    <n v="158248"/>
    <n v="159552"/>
    <n v="160891"/>
    <n v="163177"/>
    <x v="80"/>
  </r>
  <r>
    <x v="81"/>
    <n v="1789655"/>
    <n v="1775196"/>
    <n v="1763011"/>
    <n v="1762371"/>
    <x v="80"/>
    <x v="81"/>
    <n v="791291"/>
    <n v="795635"/>
    <n v="801235"/>
    <n v="806590"/>
    <n v="810540"/>
    <x v="81"/>
  </r>
  <r>
    <x v="82"/>
    <n v="33689"/>
    <n v="33906"/>
    <n v="34062"/>
    <n v="34266"/>
    <x v="81"/>
    <x v="82"/>
    <n v="16425"/>
    <n v="16486"/>
    <n v="16580"/>
    <n v="16688"/>
    <n v="16807"/>
    <x v="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8B2938-1B2D-FF4D-B908-A15C2A290C2E}"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C15" firstHeaderRow="0" firstDataRow="1" firstDataCol="1"/>
  <pivotFields count="13">
    <pivotField axis="axisRow" showAll="0" measureFilter="1" sortType="descending">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5"/>
        <item x="76"/>
        <item x="77"/>
        <item x="73"/>
        <item x="74"/>
        <item x="78"/>
        <item x="79"/>
        <item x="80"/>
        <item x="81"/>
        <item x="82"/>
        <item t="default"/>
      </items>
      <autoSortScope>
        <pivotArea dataOnly="0" outline="0" fieldPosition="0">
          <references count="1">
            <reference field="4294967294" count="1" selected="0">
              <x v="1"/>
            </reference>
          </references>
        </pivotArea>
      </autoSortScope>
    </pivotField>
    <pivotField numFmtId="3" showAll="0"/>
    <pivotField numFmtId="3" showAll="0"/>
    <pivotField numFmtId="3" showAll="0"/>
    <pivotField numFmtId="3" showAll="0"/>
    <pivotField numFmtId="3" showAll="0">
      <items count="83">
        <item x="40"/>
        <item x="64"/>
        <item x="46"/>
        <item x="6"/>
        <item x="75"/>
        <item x="66"/>
        <item x="1"/>
        <item x="58"/>
        <item x="0"/>
        <item x="47"/>
        <item x="34"/>
        <item x="41"/>
        <item x="69"/>
        <item x="19"/>
        <item x="25"/>
        <item x="5"/>
        <item x="55"/>
        <item x="9"/>
        <item x="38"/>
        <item x="63"/>
        <item x="43"/>
        <item x="53"/>
        <item x="65"/>
        <item x="70"/>
        <item x="4"/>
        <item x="33"/>
        <item x="49"/>
        <item x="15"/>
        <item x="21"/>
        <item x="67"/>
        <item x="14"/>
        <item x="62"/>
        <item x="3"/>
        <item x="51"/>
        <item x="30"/>
        <item x="17"/>
        <item x="23"/>
        <item x="81"/>
        <item x="16"/>
        <item x="20"/>
        <item x="29"/>
        <item x="74"/>
        <item x="27"/>
        <item x="52"/>
        <item x="28"/>
        <item x="11"/>
        <item x="60"/>
        <item x="13"/>
        <item x="77"/>
        <item x="73"/>
        <item x="7"/>
        <item x="35"/>
        <item x="32"/>
        <item x="50"/>
        <item x="76"/>
        <item x="57"/>
        <item x="78"/>
        <item x="18"/>
        <item x="54"/>
        <item x="42"/>
        <item x="26"/>
        <item x="44"/>
        <item x="8"/>
        <item x="22"/>
        <item x="2"/>
        <item x="12"/>
        <item x="10"/>
        <item x="56"/>
        <item x="36"/>
        <item x="72"/>
        <item x="59"/>
        <item x="71"/>
        <item x="45"/>
        <item x="37"/>
        <item x="31"/>
        <item x="68"/>
        <item x="79"/>
        <item x="24"/>
        <item x="39"/>
        <item x="48"/>
        <item x="61"/>
        <item x="80"/>
        <item t="default"/>
      </items>
    </pivotField>
    <pivotField dataField="1" numFmtId="9" showAll="0">
      <items count="84">
        <item h="1" x="31"/>
        <item h="1" x="54"/>
        <item h="1" x="1"/>
        <item h="1" x="45"/>
        <item h="1" x="16"/>
        <item h="1" x="47"/>
        <item h="1" x="72"/>
        <item h="1" x="10"/>
        <item h="1" x="8"/>
        <item h="1" x="78"/>
        <item h="1" x="81"/>
        <item h="1" x="33"/>
        <item h="1" x="26"/>
        <item h="1" x="24"/>
        <item h="1" x="28"/>
        <item h="1" x="75"/>
        <item h="1" x="20"/>
        <item h="1" x="23"/>
        <item h="1" x="12"/>
        <item h="1" x="29"/>
        <item h="1" x="73"/>
        <item h="1" x="77"/>
        <item h="1" x="13"/>
        <item h="1" x="37"/>
        <item h="1" x="3"/>
        <item h="1" x="52"/>
        <item h="1" x="14"/>
        <item h="1" x="22"/>
        <item h="1" x="21"/>
        <item h="1" x="6"/>
        <item h="1" x="65"/>
        <item h="1" x="74"/>
        <item h="1" x="5"/>
        <item h="1" x="80"/>
        <item h="1" x="55"/>
        <item h="1" x="43"/>
        <item h="1" x="49"/>
        <item h="1" x="34"/>
        <item h="1" x="57"/>
        <item h="1" x="79"/>
        <item h="1" x="35"/>
        <item h="1" x="36"/>
        <item h="1" x="64"/>
        <item h="1" x="18"/>
        <item h="1" x="63"/>
        <item h="1" x="38"/>
        <item h="1" x="56"/>
        <item h="1" x="27"/>
        <item h="1" x="2"/>
        <item h="1" x="15"/>
        <item h="1" x="76"/>
        <item h="1" x="60"/>
        <item h="1" x="46"/>
        <item h="1" x="70"/>
        <item h="1" x="50"/>
        <item h="1" x="17"/>
        <item h="1" x="32"/>
        <item h="1" x="62"/>
        <item h="1" x="71"/>
        <item h="1" x="30"/>
        <item h="1" x="51"/>
        <item h="1" x="40"/>
        <item h="1" x="7"/>
        <item h="1" x="82"/>
        <item h="1" x="25"/>
        <item h="1" x="44"/>
        <item h="1" x="66"/>
        <item h="1" x="61"/>
        <item h="1" x="11"/>
        <item h="1" x="9"/>
        <item h="1" x="48"/>
        <item h="1" x="69"/>
        <item x="53"/>
        <item x="68"/>
        <item x="39"/>
        <item x="58"/>
        <item x="0"/>
        <item x="67"/>
        <item x="4"/>
        <item x="19"/>
        <item x="41"/>
        <item x="59"/>
        <item x="42"/>
        <item t="default"/>
      </items>
    </pivotField>
    <pivotField showAll="0"/>
    <pivotField showAll="0"/>
    <pivotField showAll="0"/>
    <pivotField showAll="0"/>
    <pivotField showAll="0"/>
    <pivotField dataField="1" numFmtId="9" showAll="0">
      <items count="84">
        <item x="59"/>
        <item x="26"/>
        <item x="8"/>
        <item x="12"/>
        <item x="31"/>
        <item x="65"/>
        <item x="68"/>
        <item x="20"/>
        <item x="72"/>
        <item x="47"/>
        <item x="3"/>
        <item x="54"/>
        <item x="76"/>
        <item x="77"/>
        <item x="37"/>
        <item x="78"/>
        <item x="21"/>
        <item x="24"/>
        <item x="5"/>
        <item x="51"/>
        <item x="28"/>
        <item x="6"/>
        <item x="22"/>
        <item x="45"/>
        <item x="16"/>
        <item x="64"/>
        <item x="36"/>
        <item x="75"/>
        <item x="71"/>
        <item x="10"/>
        <item x="29"/>
        <item x="67"/>
        <item x="55"/>
        <item x="0"/>
        <item x="70"/>
        <item x="38"/>
        <item x="17"/>
        <item x="32"/>
        <item x="74"/>
        <item x="33"/>
        <item x="66"/>
        <item x="34"/>
        <item x="1"/>
        <item x="48"/>
        <item x="56"/>
        <item x="39"/>
        <item x="60"/>
        <item x="15"/>
        <item x="42"/>
        <item x="49"/>
        <item x="52"/>
        <item x="4"/>
        <item x="57"/>
        <item x="73"/>
        <item x="58"/>
        <item x="43"/>
        <item x="23"/>
        <item x="25"/>
        <item x="62"/>
        <item x="18"/>
        <item x="79"/>
        <item x="82"/>
        <item x="11"/>
        <item x="53"/>
        <item x="14"/>
        <item x="81"/>
        <item x="13"/>
        <item x="7"/>
        <item x="63"/>
        <item x="61"/>
        <item x="40"/>
        <item x="41"/>
        <item x="19"/>
        <item x="30"/>
        <item x="50"/>
        <item x="2"/>
        <item x="9"/>
        <item x="80"/>
        <item x="44"/>
        <item x="46"/>
        <item x="27"/>
        <item x="69"/>
        <item x="35"/>
        <item t="default"/>
      </items>
    </pivotField>
  </pivotFields>
  <rowFields count="1">
    <field x="0"/>
  </rowFields>
  <rowItems count="11">
    <i>
      <x v="42"/>
    </i>
    <i>
      <x v="59"/>
    </i>
    <i>
      <x v="41"/>
    </i>
    <i>
      <x v="19"/>
    </i>
    <i>
      <x v="4"/>
    </i>
    <i>
      <x v="67"/>
    </i>
    <i>
      <x/>
    </i>
    <i>
      <x v="58"/>
    </i>
    <i>
      <x v="39"/>
    </i>
    <i>
      <x v="68"/>
    </i>
    <i t="grand">
      <x/>
    </i>
  </rowItems>
  <colFields count="1">
    <field x="-2"/>
  </colFields>
  <colItems count="2">
    <i>
      <x/>
    </i>
    <i i="1">
      <x v="1"/>
    </i>
  </colItems>
  <dataFields count="2">
    <dataField name="Sum of Housing Growth 2020 to 2024" fld="12" baseField="0" baseItem="0" numFmtId="9"/>
    <dataField name="Sum of Population Growth 2020 to 2024" fld="6" baseField="0" baseItem="0" numFmtId="9"/>
  </dataFields>
  <chartFormats count="2">
    <chartFormat chart="0" format="1"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6"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CF3A632-C369-3947-9A69-617E8F2AE1AA}" autoFormatId="16" applyNumberFormats="0" applyBorderFormats="0" applyFontFormats="0" applyPatternFormats="0" applyAlignmentFormats="0" applyWidthHeightFormats="0">
  <queryTableRefresh nextId="7">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mographic_area" xr10:uid="{93E77AB3-C44C-D544-909E-74B577742BA2}" sourceName="Demographic area">
  <pivotTables>
    <pivotTable tabId="6" name="PivotTable1"/>
  </pivotTables>
  <data>
    <tabular pivotCacheId="1960176605">
      <items count="83">
        <i x="0" s="1"/>
        <i x="4" s="1"/>
        <i x="19" s="1"/>
        <i x="39" s="1"/>
        <i x="41" s="1"/>
        <i x="42" s="1"/>
        <i x="53" s="1"/>
        <i x="58" s="1"/>
        <i x="59" s="1"/>
        <i x="67" s="1"/>
        <i x="68" s="1"/>
        <i x="1" s="1" nd="1"/>
        <i x="2" s="1" nd="1"/>
        <i x="3" s="1" nd="1"/>
        <i x="5" s="1" nd="1"/>
        <i x="6" s="1" nd="1"/>
        <i x="7" s="1" nd="1"/>
        <i x="8" s="1" nd="1"/>
        <i x="9" s="1" nd="1"/>
        <i x="10" s="1" nd="1"/>
        <i x="11" s="1" nd="1"/>
        <i x="12" s="1" nd="1"/>
        <i x="13" s="1" nd="1"/>
        <i x="14" s="1" nd="1"/>
        <i x="15" s="1" nd="1"/>
        <i x="16" s="1" nd="1"/>
        <i x="17" s="1" nd="1"/>
        <i x="18" s="1" nd="1"/>
        <i x="20" s="1" nd="1"/>
        <i x="21" s="1" nd="1"/>
        <i x="22" s="1" nd="1"/>
        <i x="23" s="1" nd="1"/>
        <i x="24" s="1" nd="1"/>
        <i x="25" s="1" nd="1"/>
        <i x="26" s="1" nd="1"/>
        <i x="27" s="1" nd="1"/>
        <i x="28" s="1" nd="1"/>
        <i x="29" s="1" nd="1"/>
        <i x="30" s="1" nd="1"/>
        <i x="31" s="1" nd="1"/>
        <i x="32" s="1" nd="1"/>
        <i x="33" s="1" nd="1"/>
        <i x="34" s="1" nd="1"/>
        <i x="35" s="1" nd="1"/>
        <i x="36" s="1" nd="1"/>
        <i x="37" s="1" nd="1"/>
        <i x="38" s="1" nd="1"/>
        <i x="40" s="1" nd="1"/>
        <i x="43" s="1" nd="1"/>
        <i x="44" s="1" nd="1"/>
        <i x="45" s="1" nd="1"/>
        <i x="46" s="1" nd="1"/>
        <i x="47" s="1" nd="1"/>
        <i x="48" s="1" nd="1"/>
        <i x="49" s="1" nd="1"/>
        <i x="50" s="1" nd="1"/>
        <i x="51" s="1" nd="1"/>
        <i x="52" s="1" nd="1"/>
        <i x="54" s="1" nd="1"/>
        <i x="55" s="1" nd="1"/>
        <i x="56" s="1" nd="1"/>
        <i x="57" s="1" nd="1"/>
        <i x="60" s="1" nd="1"/>
        <i x="61" s="1" nd="1"/>
        <i x="62" s="1" nd="1"/>
        <i x="63" s="1" nd="1"/>
        <i x="64" s="1" nd="1"/>
        <i x="65" s="1" nd="1"/>
        <i x="66" s="1" nd="1"/>
        <i x="69" s="1" nd="1"/>
        <i x="70" s="1" nd="1"/>
        <i x="71" s="1" nd="1"/>
        <i x="72" s="1" nd="1"/>
        <i x="75" s="1" nd="1"/>
        <i x="76" s="1" nd="1"/>
        <i x="77" s="1" nd="1"/>
        <i x="73" s="1" nd="1"/>
        <i x="74" s="1" nd="1"/>
        <i x="78" s="1" nd="1"/>
        <i x="79" s="1" nd="1"/>
        <i x="80" s="1" nd="1"/>
        <i x="81" s="1" nd="1"/>
        <i x="8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pulation_Growth_2020_to_2024" xr10:uid="{528C1D18-5E59-6047-A1D0-2F6E1B0C1A06}" sourceName="Population Growth 2020 to 2024">
  <pivotTables>
    <pivotTable tabId="6" name="PivotTable1"/>
  </pivotTables>
  <data>
    <tabular pivotCacheId="1960176605">
      <items count="83">
        <i x="31"/>
        <i x="54"/>
        <i x="1"/>
        <i x="45"/>
        <i x="16"/>
        <i x="47"/>
        <i x="72"/>
        <i x="10"/>
        <i x="8"/>
        <i x="78"/>
        <i x="81"/>
        <i x="33"/>
        <i x="26"/>
        <i x="24"/>
        <i x="28"/>
        <i x="75"/>
        <i x="20"/>
        <i x="23"/>
        <i x="12"/>
        <i x="29"/>
        <i x="73"/>
        <i x="77"/>
        <i x="13"/>
        <i x="37"/>
        <i x="3"/>
        <i x="52"/>
        <i x="14"/>
        <i x="22"/>
        <i x="21"/>
        <i x="6"/>
        <i x="65"/>
        <i x="74"/>
        <i x="5"/>
        <i x="80"/>
        <i x="55"/>
        <i x="43"/>
        <i x="49"/>
        <i x="34"/>
        <i x="57"/>
        <i x="79"/>
        <i x="35"/>
        <i x="36"/>
        <i x="64"/>
        <i x="18"/>
        <i x="63"/>
        <i x="38"/>
        <i x="56"/>
        <i x="27"/>
        <i x="2"/>
        <i x="15"/>
        <i x="76"/>
        <i x="60"/>
        <i x="46"/>
        <i x="70"/>
        <i x="50"/>
        <i x="17"/>
        <i x="32"/>
        <i x="62"/>
        <i x="71"/>
        <i x="30"/>
        <i x="51"/>
        <i x="40"/>
        <i x="7"/>
        <i x="82"/>
        <i x="25"/>
        <i x="44"/>
        <i x="66"/>
        <i x="61"/>
        <i x="11"/>
        <i x="9"/>
        <i x="48"/>
        <i x="69"/>
        <i x="53" s="1"/>
        <i x="68" s="1"/>
        <i x="39" s="1"/>
        <i x="58" s="1"/>
        <i x="0" s="1"/>
        <i x="67" s="1"/>
        <i x="4" s="1"/>
        <i x="19" s="1"/>
        <i x="41" s="1"/>
        <i x="59" s="1"/>
        <i x="4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sing_Growth_2020_to_2024" xr10:uid="{22BA7075-8638-9948-A885-A1CC0268CE1C}" sourceName="Housing Growth 2020 to 2024">
  <pivotTables>
    <pivotTable tabId="6" name="PivotTable1"/>
  </pivotTables>
  <data>
    <tabular pivotCacheId="1960176605">
      <items count="83">
        <i x="59" s="1"/>
        <i x="68" s="1"/>
        <i x="67" s="1"/>
        <i x="0" s="1"/>
        <i x="39" s="1"/>
        <i x="42" s="1"/>
        <i x="4" s="1"/>
        <i x="58" s="1"/>
        <i x="53" s="1"/>
        <i x="41" s="1"/>
        <i x="19" s="1"/>
        <i x="26" s="1" nd="1"/>
        <i x="8" s="1" nd="1"/>
        <i x="12" s="1" nd="1"/>
        <i x="31" s="1" nd="1"/>
        <i x="65" s="1" nd="1"/>
        <i x="20" s="1" nd="1"/>
        <i x="72" s="1" nd="1"/>
        <i x="47" s="1" nd="1"/>
        <i x="3" s="1" nd="1"/>
        <i x="54" s="1" nd="1"/>
        <i x="76" s="1" nd="1"/>
        <i x="77" s="1" nd="1"/>
        <i x="37" s="1" nd="1"/>
        <i x="78" s="1" nd="1"/>
        <i x="21" s="1" nd="1"/>
        <i x="24" s="1" nd="1"/>
        <i x="5" s="1" nd="1"/>
        <i x="51" s="1" nd="1"/>
        <i x="28" s="1" nd="1"/>
        <i x="6" s="1" nd="1"/>
        <i x="22" s="1" nd="1"/>
        <i x="45" s="1" nd="1"/>
        <i x="16" s="1" nd="1"/>
        <i x="64" s="1" nd="1"/>
        <i x="36" s="1" nd="1"/>
        <i x="75" s="1" nd="1"/>
        <i x="71" s="1" nd="1"/>
        <i x="10" s="1" nd="1"/>
        <i x="29" s="1" nd="1"/>
        <i x="55" s="1" nd="1"/>
        <i x="70" s="1" nd="1"/>
        <i x="38" s="1" nd="1"/>
        <i x="17" s="1" nd="1"/>
        <i x="32" s="1" nd="1"/>
        <i x="74" s="1" nd="1"/>
        <i x="33" s="1" nd="1"/>
        <i x="66" s="1" nd="1"/>
        <i x="34" s="1" nd="1"/>
        <i x="1" s="1" nd="1"/>
        <i x="48" s="1" nd="1"/>
        <i x="56" s="1" nd="1"/>
        <i x="60" s="1" nd="1"/>
        <i x="15" s="1" nd="1"/>
        <i x="49" s="1" nd="1"/>
        <i x="52" s="1" nd="1"/>
        <i x="57" s="1" nd="1"/>
        <i x="73" s="1" nd="1"/>
        <i x="43" s="1" nd="1"/>
        <i x="23" s="1" nd="1"/>
        <i x="25" s="1" nd="1"/>
        <i x="62" s="1" nd="1"/>
        <i x="18" s="1" nd="1"/>
        <i x="79" s="1" nd="1"/>
        <i x="82" s="1" nd="1"/>
        <i x="11" s="1" nd="1"/>
        <i x="14" s="1" nd="1"/>
        <i x="81" s="1" nd="1"/>
        <i x="13" s="1" nd="1"/>
        <i x="7" s="1" nd="1"/>
        <i x="63" s="1" nd="1"/>
        <i x="61" s="1" nd="1"/>
        <i x="40" s="1" nd="1"/>
        <i x="30" s="1" nd="1"/>
        <i x="50" s="1" nd="1"/>
        <i x="2" s="1" nd="1"/>
        <i x="9" s="1" nd="1"/>
        <i x="80" s="1" nd="1"/>
        <i x="44" s="1" nd="1"/>
        <i x="46" s="1" nd="1"/>
        <i x="27" s="1" nd="1"/>
        <i x="69" s="1" nd="1"/>
        <i x="3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mographic area 1" xr10:uid="{9BD7BA4A-4F57-064D-B1B0-CD8F426077A2}" cache="Slicer_Demographic_area" caption="Demographic area" startItem="41" rowHeight="230716"/>
  <slicer name="Population Growth 2020 to 2024" xr10:uid="{9264865B-8531-D74B-AEF1-0BCCBB501B1C}" cache="Slicer_Population_Growth_2020_to_2024" caption="Population Growth 2020 to 2024" startItem="70" rowHeight="230716"/>
  <slicer name="Housing Growth 2020 to 2024" xr10:uid="{90974B6E-8CE2-4243-8C4C-B3866B66627D}" cache="Slicer_Housing_Growth_2020_to_2024" caption="Housing Growth 2020 to 2024" startItem="22"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FDFA8EF-2F72-6B46-876A-6D18DA07FA4B}" name="__xlnm_Print_Area" displayName="__xlnm_Print_Area" ref="A1:F86" tableType="queryTable" totalsRowShown="0">
  <autoFilter ref="A1:F86" xr:uid="{FFDFA8EF-2F72-6B46-876A-6D18DA07FA4B}"/>
  <tableColumns count="6">
    <tableColumn id="1" xr3:uid="{D7B4A2CD-9F8A-F94D-AC8A-262143E6D433}" uniqueName="1" name="Column1" queryTableFieldId="1" dataDxfId="1"/>
    <tableColumn id="2" xr3:uid="{2D845581-8749-1649-9B2D-9B8D8AD87984}" uniqueName="2" name="Column2" queryTableFieldId="2"/>
    <tableColumn id="3" xr3:uid="{4CE6EB31-023D-7843-9757-1F6B3316DD77}" uniqueName="3" name="Column3" queryTableFieldId="3"/>
    <tableColumn id="4" xr3:uid="{DE507E68-4124-0844-A109-ACAACAAA8482}" uniqueName="4" name="Column4" queryTableFieldId="4"/>
    <tableColumn id="5" xr3:uid="{CF196F9D-8FC4-D44B-9BD1-D6869C7F00B0}" uniqueName="5" name="Column5" queryTableFieldId="5"/>
    <tableColumn id="6" xr3:uid="{40D78490-FF28-3946-8B67-17B3E3C6E5D6}" uniqueName="6" name="Column6" queryTableFieldId="6"/>
  </tableColumns>
  <tableStyleInfo name="TableStyleMedium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8A719-C614-B34D-A706-6F53CC5731AD}">
  <dimension ref="A4:G50"/>
  <sheetViews>
    <sheetView tabSelected="1" workbookViewId="0">
      <selection activeCell="B56" sqref="B56"/>
    </sheetView>
  </sheetViews>
  <sheetFormatPr baseColWidth="10" defaultRowHeight="15" x14ac:dyDescent="0.2"/>
  <cols>
    <col min="1" max="1" width="26.6640625" bestFit="1" customWidth="1"/>
    <col min="2" max="2" width="30.1640625" bestFit="1" customWidth="1"/>
    <col min="3" max="3" width="32.6640625" bestFit="1" customWidth="1"/>
    <col min="4" max="7" width="30.1640625" bestFit="1" customWidth="1"/>
    <col min="8" max="9" width="5.6640625" bestFit="1" customWidth="1"/>
    <col min="10" max="63" width="6.6640625" bestFit="1" customWidth="1"/>
    <col min="64" max="81" width="7.6640625" bestFit="1" customWidth="1"/>
    <col min="82" max="83" width="9.1640625" bestFit="1" customWidth="1"/>
    <col min="84" max="84" width="10.6640625" bestFit="1" customWidth="1"/>
    <col min="85" max="91" width="5.6640625" bestFit="1" customWidth="1"/>
    <col min="92" max="145" width="6.6640625" bestFit="1" customWidth="1"/>
    <col min="146" max="163" width="7.6640625" bestFit="1" customWidth="1"/>
    <col min="164" max="165" width="9.1640625" bestFit="1" customWidth="1"/>
    <col min="166" max="166" width="10.6640625" bestFit="1" customWidth="1"/>
    <col min="167" max="173" width="5.6640625" bestFit="1" customWidth="1"/>
    <col min="174" max="227" width="6.6640625" bestFit="1" customWidth="1"/>
    <col min="228" max="245" width="7.6640625" bestFit="1" customWidth="1"/>
    <col min="246" max="247" width="9.1640625" bestFit="1" customWidth="1"/>
    <col min="248" max="248" width="10.6640625" bestFit="1" customWidth="1"/>
    <col min="249" max="255" width="5.6640625" bestFit="1" customWidth="1"/>
    <col min="256" max="309" width="6.6640625" bestFit="1" customWidth="1"/>
    <col min="310" max="327" width="7.6640625" bestFit="1" customWidth="1"/>
    <col min="328" max="329" width="9.1640625" bestFit="1" customWidth="1"/>
    <col min="330" max="330" width="30.1640625" bestFit="1" customWidth="1"/>
    <col min="331" max="337" width="5.6640625" bestFit="1" customWidth="1"/>
    <col min="338" max="391" width="6.6640625" bestFit="1" customWidth="1"/>
    <col min="392" max="409" width="7.6640625" bestFit="1" customWidth="1"/>
    <col min="410" max="411" width="9.1640625" bestFit="1" customWidth="1"/>
    <col min="412" max="415" width="14.83203125" bestFit="1" customWidth="1"/>
    <col min="416" max="416" width="34.5" bestFit="1" customWidth="1"/>
  </cols>
  <sheetData>
    <row r="4" spans="1:3" x14ac:dyDescent="0.2">
      <c r="A4" s="38" t="s">
        <v>190</v>
      </c>
      <c r="B4" t="s">
        <v>189</v>
      </c>
      <c r="C4" t="s">
        <v>188</v>
      </c>
    </row>
    <row r="5" spans="1:3" x14ac:dyDescent="0.2">
      <c r="A5" s="39" t="s">
        <v>139</v>
      </c>
      <c r="B5" s="37">
        <v>1.763866996922615E-2</v>
      </c>
      <c r="C5" s="37">
        <v>7.4971069598280704E-2</v>
      </c>
    </row>
    <row r="6" spans="1:3" x14ac:dyDescent="0.2">
      <c r="A6" s="39" t="s">
        <v>156</v>
      </c>
      <c r="B6" s="37">
        <v>-4.4797849703214247E-4</v>
      </c>
      <c r="C6" s="37">
        <v>7.1755725190839698E-2</v>
      </c>
    </row>
    <row r="7" spans="1:3" x14ac:dyDescent="0.2">
      <c r="A7" s="39" t="s">
        <v>138</v>
      </c>
      <c r="B7" s="37">
        <v>2.9049295774647887E-2</v>
      </c>
      <c r="C7" s="37">
        <v>4.953861097620204E-2</v>
      </c>
    </row>
    <row r="8" spans="1:3" x14ac:dyDescent="0.2">
      <c r="A8" s="39" t="s">
        <v>116</v>
      </c>
      <c r="B8" s="37">
        <v>2.9463759575721862E-2</v>
      </c>
      <c r="C8" s="37">
        <v>4.7124047124047122E-2</v>
      </c>
    </row>
    <row r="9" spans="1:3" x14ac:dyDescent="0.2">
      <c r="A9" s="39" t="s">
        <v>101</v>
      </c>
      <c r="B9" s="37">
        <v>1.9482738976871368E-2</v>
      </c>
      <c r="C9" s="37">
        <v>4.586530264279625E-2</v>
      </c>
    </row>
    <row r="10" spans="1:3" x14ac:dyDescent="0.2">
      <c r="A10" s="39" t="s">
        <v>164</v>
      </c>
      <c r="B10" s="37">
        <v>1.319571465900183E-2</v>
      </c>
      <c r="C10" s="37">
        <v>4.3837279902853674E-2</v>
      </c>
    </row>
    <row r="11" spans="1:3" x14ac:dyDescent="0.2">
      <c r="A11" s="39" t="s">
        <v>97</v>
      </c>
      <c r="B11" s="37">
        <v>1.3829372808726139E-2</v>
      </c>
      <c r="C11" s="37">
        <v>4.3102601865488463E-2</v>
      </c>
    </row>
    <row r="12" spans="1:3" x14ac:dyDescent="0.2">
      <c r="A12" s="39" t="s">
        <v>155</v>
      </c>
      <c r="B12" s="37">
        <v>2.0103203612126426E-2</v>
      </c>
      <c r="C12" s="37">
        <v>3.9829580401746202E-2</v>
      </c>
    </row>
    <row r="13" spans="1:3" x14ac:dyDescent="0.2">
      <c r="A13" s="39" t="s">
        <v>136</v>
      </c>
      <c r="B13" s="37">
        <v>1.7101399205389532E-2</v>
      </c>
      <c r="C13" s="37">
        <v>3.8429360254336548E-2</v>
      </c>
    </row>
    <row r="14" spans="1:3" x14ac:dyDescent="0.2">
      <c r="A14" s="39" t="s">
        <v>165</v>
      </c>
      <c r="B14" s="37">
        <v>4.7096817600753545E-3</v>
      </c>
      <c r="C14" s="37">
        <v>3.7716331808235526E-2</v>
      </c>
    </row>
    <row r="15" spans="1:3" x14ac:dyDescent="0.2">
      <c r="A15" s="39" t="s">
        <v>191</v>
      </c>
      <c r="B15" s="37">
        <v>0.16412585784475439</v>
      </c>
      <c r="C15" s="37">
        <v>0.49216990976482633</v>
      </c>
    </row>
    <row r="38" spans="1:7" ht="28" customHeight="1" x14ac:dyDescent="0.2">
      <c r="A38" s="7" t="s">
        <v>83</v>
      </c>
      <c r="B38" s="21"/>
      <c r="C38" s="21"/>
      <c r="D38" s="21"/>
      <c r="E38" s="21"/>
      <c r="F38" s="22"/>
    </row>
    <row r="39" spans="1:7" ht="33" customHeight="1" x14ac:dyDescent="0.2">
      <c r="A39" s="7" t="s">
        <v>84</v>
      </c>
      <c r="B39" s="21"/>
      <c r="C39" s="21"/>
      <c r="D39" s="21"/>
      <c r="E39" s="21"/>
      <c r="F39" s="22"/>
    </row>
    <row r="40" spans="1:7" x14ac:dyDescent="0.2">
      <c r="A40" s="10" t="s">
        <v>85</v>
      </c>
      <c r="B40" s="27"/>
      <c r="C40" s="27"/>
      <c r="D40" s="27"/>
      <c r="E40" s="27"/>
      <c r="F40" s="28"/>
    </row>
    <row r="41" spans="1:7" x14ac:dyDescent="0.2">
      <c r="A41" s="13" t="s">
        <v>86</v>
      </c>
      <c r="B41" s="25"/>
      <c r="C41" s="25"/>
      <c r="D41" s="25"/>
      <c r="E41" s="25"/>
      <c r="F41" s="26"/>
    </row>
    <row r="42" spans="1:7" x14ac:dyDescent="0.2">
      <c r="A42" s="13" t="s">
        <v>87</v>
      </c>
      <c r="B42" s="25"/>
      <c r="C42" s="25"/>
      <c r="D42" s="25"/>
      <c r="E42" s="25"/>
      <c r="F42" s="26"/>
    </row>
    <row r="43" spans="1:7" x14ac:dyDescent="0.2">
      <c r="A43" s="16" t="s">
        <v>88</v>
      </c>
      <c r="B43" s="23"/>
      <c r="C43" s="23"/>
      <c r="D43" s="23"/>
      <c r="E43" s="23"/>
      <c r="F43" s="24"/>
    </row>
    <row r="45" spans="1:7" ht="37" customHeight="1" x14ac:dyDescent="0.2">
      <c r="A45" s="40" t="s">
        <v>192</v>
      </c>
      <c r="B45" s="41"/>
      <c r="C45" s="41"/>
      <c r="D45" s="41"/>
      <c r="E45" s="41"/>
      <c r="F45" s="41"/>
      <c r="G45" s="41"/>
    </row>
    <row r="46" spans="1:7" ht="33" customHeight="1" x14ac:dyDescent="0.2">
      <c r="A46" s="7" t="s">
        <v>193</v>
      </c>
      <c r="B46" s="8"/>
      <c r="C46" s="8"/>
      <c r="D46" s="8"/>
      <c r="E46" s="8"/>
      <c r="F46" s="8"/>
      <c r="G46" s="9"/>
    </row>
    <row r="47" spans="1:7" x14ac:dyDescent="0.2">
      <c r="A47" s="10" t="s">
        <v>85</v>
      </c>
      <c r="B47" s="11"/>
      <c r="C47" s="11"/>
      <c r="D47" s="11"/>
      <c r="E47" s="11"/>
      <c r="F47" s="11"/>
      <c r="G47" s="12"/>
    </row>
    <row r="48" spans="1:7" x14ac:dyDescent="0.2">
      <c r="A48" s="13" t="s">
        <v>194</v>
      </c>
      <c r="B48" s="14"/>
      <c r="C48" s="14"/>
      <c r="D48" s="14"/>
      <c r="E48" s="14"/>
      <c r="F48" s="14"/>
      <c r="G48" s="15"/>
    </row>
    <row r="49" spans="1:7" x14ac:dyDescent="0.2">
      <c r="A49" s="13" t="s">
        <v>87</v>
      </c>
      <c r="B49" s="14"/>
      <c r="C49" s="14"/>
      <c r="D49" s="14"/>
      <c r="E49" s="14"/>
      <c r="F49" s="14"/>
      <c r="G49" s="15"/>
    </row>
    <row r="50" spans="1:7" x14ac:dyDescent="0.2">
      <c r="A50" s="16" t="s">
        <v>195</v>
      </c>
      <c r="B50" s="17"/>
      <c r="C50" s="17"/>
      <c r="D50" s="17"/>
      <c r="E50" s="17"/>
      <c r="F50" s="17"/>
      <c r="G50" s="18"/>
    </row>
  </sheetData>
  <mergeCells count="12">
    <mergeCell ref="A45:G45"/>
    <mergeCell ref="A46:G46"/>
    <mergeCell ref="A47:G47"/>
    <mergeCell ref="A48:G48"/>
    <mergeCell ref="A49:G49"/>
    <mergeCell ref="A50:G50"/>
    <mergeCell ref="A38:F38"/>
    <mergeCell ref="A39:F39"/>
    <mergeCell ref="A40:F40"/>
    <mergeCell ref="A41:F41"/>
    <mergeCell ref="A42:F42"/>
    <mergeCell ref="A43:F4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95"/>
  <sheetViews>
    <sheetView workbookViewId="0">
      <pane ySplit="1" topLeftCell="A2" activePane="bottomLeft" state="frozen"/>
      <selection pane="bottomLeft" activeCell="P7" sqref="P7"/>
    </sheetView>
  </sheetViews>
  <sheetFormatPr baseColWidth="10" defaultColWidth="8.6640625" defaultRowHeight="15" x14ac:dyDescent="0.2"/>
  <cols>
    <col min="1" max="1" width="38.1640625" style="1" customWidth="1"/>
    <col min="2" max="7" width="16.5" style="1" customWidth="1"/>
    <col min="8" max="8" width="16" style="1" customWidth="1"/>
    <col min="9" max="9" width="18.1640625" style="1" customWidth="1"/>
    <col min="10" max="10" width="16" style="1" customWidth="1"/>
    <col min="11" max="11" width="30.1640625" style="1" customWidth="1"/>
    <col min="12" max="12" width="16" style="1" customWidth="1"/>
    <col min="13" max="13" width="15.83203125" style="1" customWidth="1"/>
    <col min="14" max="14" width="28.83203125" style="1" customWidth="1"/>
    <col min="15" max="16384" width="8.6640625" style="1"/>
  </cols>
  <sheetData>
    <row r="1" spans="1:16" s="2" customFormat="1" ht="27.75" customHeight="1" x14ac:dyDescent="0.2">
      <c r="A1" s="20" t="s">
        <v>89</v>
      </c>
      <c r="B1" s="19">
        <v>2020</v>
      </c>
      <c r="C1" s="19">
        <v>2021</v>
      </c>
      <c r="D1" s="19">
        <v>2022</v>
      </c>
      <c r="E1" s="19">
        <v>2023</v>
      </c>
      <c r="F1" s="19">
        <v>2024</v>
      </c>
      <c r="G1" s="34" t="s">
        <v>186</v>
      </c>
      <c r="H1" s="2" t="s">
        <v>181</v>
      </c>
      <c r="I1" s="2" t="s">
        <v>182</v>
      </c>
      <c r="J1" s="2" t="s">
        <v>183</v>
      </c>
      <c r="K1" s="2" t="s">
        <v>184</v>
      </c>
      <c r="L1" s="2" t="s">
        <v>185</v>
      </c>
      <c r="M1" s="35" t="s">
        <v>187</v>
      </c>
    </row>
    <row r="2" spans="1:16" x14ac:dyDescent="0.2">
      <c r="A2" s="3" t="s">
        <v>0</v>
      </c>
      <c r="B2" s="4">
        <v>10185</v>
      </c>
      <c r="C2" s="4">
        <v>10285</v>
      </c>
      <c r="D2" s="4">
        <v>10375</v>
      </c>
      <c r="E2" s="4">
        <v>10513</v>
      </c>
      <c r="F2" s="4">
        <v>10624</v>
      </c>
      <c r="G2" s="33">
        <f>(F2-B2)/B2</f>
        <v>4.3102601865488463E-2</v>
      </c>
      <c r="H2" s="1">
        <f>VLOOKUP($A:$A,housing_data_power_query!$A:$F,2,FALSE)</f>
        <v>10268</v>
      </c>
      <c r="I2" s="1">
        <f>VLOOKUP($A:$A,housing_data_power_query!$A:$F,3,FALSE)</f>
        <v>10297</v>
      </c>
      <c r="J2" s="1">
        <f>VLOOKUP($A:$A,housing_data_power_query!$A:$F,4,FALSE)</f>
        <v>10338</v>
      </c>
      <c r="K2" s="1">
        <f>VLOOKUP($A:$A,housing_data_power_query!$A:$F,5,FALSE)</f>
        <v>10379</v>
      </c>
      <c r="L2" s="1">
        <f>VLOOKUP($A:$A,housing_data_power_query!$A:$F,6,FALSE)</f>
        <v>10410</v>
      </c>
      <c r="M2" s="36">
        <f>(L2-H2)/H2</f>
        <v>1.3829372808726139E-2</v>
      </c>
      <c r="N2" s="1" t="str">
        <f>INDEX(A:A,MATCH(MAX(G:G),G:G,0))</f>
        <v>.Lake County, Michigan</v>
      </c>
    </row>
    <row r="3" spans="1:16" x14ac:dyDescent="0.2">
      <c r="A3" s="3" t="s">
        <v>1</v>
      </c>
      <c r="B3" s="4">
        <v>8839</v>
      </c>
      <c r="C3" s="4">
        <v>8770</v>
      </c>
      <c r="D3" s="4">
        <v>8767</v>
      </c>
      <c r="E3" s="4">
        <v>8740</v>
      </c>
      <c r="F3" s="4">
        <v>8695</v>
      </c>
      <c r="G3" s="33">
        <f>(F3-B3)/B3</f>
        <v>-1.6291435682769546E-2</v>
      </c>
      <c r="H3" s="1">
        <f>VLOOKUP($A:$A,housing_data_power_query!$A:$F,2,FALSE)</f>
        <v>6172</v>
      </c>
      <c r="I3" s="1">
        <f>VLOOKUP($A:$A,housing_data_power_query!$A:$F,3,FALSE)</f>
        <v>6187</v>
      </c>
      <c r="J3" s="1">
        <f>VLOOKUP($A:$A,housing_data_power_query!$A:$F,4,FALSE)</f>
        <v>6216</v>
      </c>
      <c r="K3" s="1">
        <f>VLOOKUP($A:$A,housing_data_power_query!$A:$F,5,FALSE)</f>
        <v>6241</v>
      </c>
      <c r="L3" s="1">
        <f>VLOOKUP($A:$A,housing_data_power_query!$A:$F,6,FALSE)</f>
        <v>6267</v>
      </c>
      <c r="M3" s="36">
        <f>(L3-H3)/H3</f>
        <v>1.5392093324692158E-2</v>
      </c>
    </row>
    <row r="4" spans="1:16" x14ac:dyDescent="0.2">
      <c r="A4" s="3" t="s">
        <v>2</v>
      </c>
      <c r="B4" s="4">
        <v>120661</v>
      </c>
      <c r="C4" s="4">
        <v>121055</v>
      </c>
      <c r="D4" s="4">
        <v>121262</v>
      </c>
      <c r="E4" s="4">
        <v>121874</v>
      </c>
      <c r="F4" s="4">
        <v>122429</v>
      </c>
      <c r="G4" s="33">
        <f>(F4-B4)/B4</f>
        <v>1.4652621808206463E-2</v>
      </c>
      <c r="H4" s="1">
        <f>VLOOKUP($A:$A,housing_data_power_query!$A:$F,2,FALSE)</f>
        <v>51877</v>
      </c>
      <c r="I4" s="1">
        <f>VLOOKUP($A:$A,housing_data_power_query!$A:$F,3,FALSE)</f>
        <v>52260</v>
      </c>
      <c r="J4" s="1">
        <f>VLOOKUP($A:$A,housing_data_power_query!$A:$F,4,FALSE)</f>
        <v>52602</v>
      </c>
      <c r="K4" s="1">
        <f>VLOOKUP($A:$A,housing_data_power_query!$A:$F,5,FALSE)</f>
        <v>53066</v>
      </c>
      <c r="L4" s="1">
        <f>VLOOKUP($A:$A,housing_data_power_query!$A:$F,6,FALSE)</f>
        <v>53488</v>
      </c>
      <c r="M4" s="36">
        <f>(L4-H4)/H4</f>
        <v>3.1054224415444222E-2</v>
      </c>
    </row>
    <row r="5" spans="1:16" x14ac:dyDescent="0.2">
      <c r="A5" s="3" t="s">
        <v>3</v>
      </c>
      <c r="B5" s="4">
        <v>28879</v>
      </c>
      <c r="C5" s="4">
        <v>28933</v>
      </c>
      <c r="D5" s="4">
        <v>28813</v>
      </c>
      <c r="E5" s="4">
        <v>28870</v>
      </c>
      <c r="F5" s="4">
        <v>28903</v>
      </c>
      <c r="G5" s="33">
        <f>(F5-B5)/B5</f>
        <v>8.3105370684580487E-4</v>
      </c>
      <c r="H5" s="1">
        <f>VLOOKUP($A:$A,housing_data_power_query!$A:$F,2,FALSE)</f>
        <v>15646</v>
      </c>
      <c r="I5" s="1">
        <f>VLOOKUP($A:$A,housing_data_power_query!$A:$F,3,FALSE)</f>
        <v>15662</v>
      </c>
      <c r="J5" s="1">
        <f>VLOOKUP($A:$A,housing_data_power_query!$A:$F,4,FALSE)</f>
        <v>15681</v>
      </c>
      <c r="K5" s="1">
        <f>VLOOKUP($A:$A,housing_data_power_query!$A:$F,5,FALSE)</f>
        <v>15703</v>
      </c>
      <c r="L5" s="1">
        <f>VLOOKUP($A:$A,housing_data_power_query!$A:$F,6,FALSE)</f>
        <v>15735</v>
      </c>
      <c r="M5" s="36">
        <f>(L5-H5)/H5</f>
        <v>5.6883548510801487E-3</v>
      </c>
      <c r="P5"/>
    </row>
    <row r="6" spans="1:16" x14ac:dyDescent="0.2">
      <c r="A6" s="3" t="s">
        <v>4</v>
      </c>
      <c r="B6" s="4">
        <v>23460</v>
      </c>
      <c r="C6" s="4">
        <v>23877</v>
      </c>
      <c r="D6" s="4">
        <v>24296</v>
      </c>
      <c r="E6" s="4">
        <v>24466</v>
      </c>
      <c r="F6" s="4">
        <v>24536</v>
      </c>
      <c r="G6" s="33">
        <f>(F6-B6)/B6</f>
        <v>4.586530264279625E-2</v>
      </c>
      <c r="H6" s="1">
        <f>VLOOKUP($A:$A,housing_data_power_query!$A:$F,2,FALSE)</f>
        <v>17554</v>
      </c>
      <c r="I6" s="1">
        <f>VLOOKUP($A:$A,housing_data_power_query!$A:$F,3,FALSE)</f>
        <v>17629</v>
      </c>
      <c r="J6" s="1">
        <f>VLOOKUP($A:$A,housing_data_power_query!$A:$F,4,FALSE)</f>
        <v>17723</v>
      </c>
      <c r="K6" s="1">
        <f>VLOOKUP($A:$A,housing_data_power_query!$A:$F,5,FALSE)</f>
        <v>17814</v>
      </c>
      <c r="L6" s="1">
        <f>VLOOKUP($A:$A,housing_data_power_query!$A:$F,6,FALSE)</f>
        <v>17896</v>
      </c>
      <c r="M6" s="36">
        <f>(L6-H6)/H6</f>
        <v>1.9482738976871368E-2</v>
      </c>
    </row>
    <row r="7" spans="1:16" x14ac:dyDescent="0.2">
      <c r="A7" s="3" t="s">
        <v>5</v>
      </c>
      <c r="B7" s="4">
        <v>15009</v>
      </c>
      <c r="C7" s="4">
        <v>15023</v>
      </c>
      <c r="D7" s="4">
        <v>15115</v>
      </c>
      <c r="E7" s="4">
        <v>15152</v>
      </c>
      <c r="F7" s="4">
        <v>15087</v>
      </c>
      <c r="G7" s="33">
        <f>(F7-B7)/B7</f>
        <v>5.1968818708774739E-3</v>
      </c>
      <c r="H7" s="1">
        <f>VLOOKUP($A:$A,housing_data_power_query!$A:$F,2,FALSE)</f>
        <v>9505</v>
      </c>
      <c r="I7" s="1">
        <f>VLOOKUP($A:$A,housing_data_power_query!$A:$F,3,FALSE)</f>
        <v>9520</v>
      </c>
      <c r="J7" s="1">
        <f>VLOOKUP($A:$A,housing_data_power_query!$A:$F,4,FALSE)</f>
        <v>9547</v>
      </c>
      <c r="K7" s="1">
        <f>VLOOKUP($A:$A,housing_data_power_query!$A:$F,5,FALSE)</f>
        <v>9565</v>
      </c>
      <c r="L7" s="1">
        <f>VLOOKUP($A:$A,housing_data_power_query!$A:$F,6,FALSE)</f>
        <v>9578</v>
      </c>
      <c r="M7" s="36">
        <f>(L7-H7)/H7</f>
        <v>7.6801683324566015E-3</v>
      </c>
    </row>
    <row r="8" spans="1:16" x14ac:dyDescent="0.2">
      <c r="A8" s="3" t="s">
        <v>6</v>
      </c>
      <c r="B8" s="4">
        <v>8141</v>
      </c>
      <c r="C8" s="4">
        <v>8231</v>
      </c>
      <c r="D8" s="4">
        <v>8194</v>
      </c>
      <c r="E8" s="4">
        <v>8222</v>
      </c>
      <c r="F8" s="4">
        <v>8169</v>
      </c>
      <c r="G8" s="33">
        <f>(F8-B8)/B8</f>
        <v>3.4393809114359416E-3</v>
      </c>
      <c r="H8" s="1">
        <f>VLOOKUP($A:$A,housing_data_power_query!$A:$F,2,FALSE)</f>
        <v>5052</v>
      </c>
      <c r="I8" s="1">
        <f>VLOOKUP($A:$A,housing_data_power_query!$A:$F,3,FALSE)</f>
        <v>5065</v>
      </c>
      <c r="J8" s="1">
        <f>VLOOKUP($A:$A,housing_data_power_query!$A:$F,4,FALSE)</f>
        <v>5072</v>
      </c>
      <c r="K8" s="1">
        <f>VLOOKUP($A:$A,housing_data_power_query!$A:$F,5,FALSE)</f>
        <v>5085</v>
      </c>
      <c r="L8" s="1">
        <f>VLOOKUP($A:$A,housing_data_power_query!$A:$F,6,FALSE)</f>
        <v>5097</v>
      </c>
      <c r="M8" s="36">
        <f>(L8-H8)/H8</f>
        <v>8.9073634204275536E-3</v>
      </c>
    </row>
    <row r="9" spans="1:16" x14ac:dyDescent="0.2">
      <c r="A9" s="3" t="s">
        <v>7</v>
      </c>
      <c r="B9" s="4">
        <v>62607</v>
      </c>
      <c r="C9" s="4">
        <v>63141</v>
      </c>
      <c r="D9" s="4">
        <v>63389</v>
      </c>
      <c r="E9" s="4">
        <v>63881</v>
      </c>
      <c r="F9" s="4">
        <v>64025</v>
      </c>
      <c r="G9" s="33">
        <f>(F9-B9)/B9</f>
        <v>2.2649224527608734E-2</v>
      </c>
      <c r="H9" s="1">
        <f>VLOOKUP($A:$A,housing_data_power_query!$A:$F,2,FALSE)</f>
        <v>27397</v>
      </c>
      <c r="I9" s="1">
        <f>VLOOKUP($A:$A,housing_data_power_query!$A:$F,3,FALSE)</f>
        <v>27572</v>
      </c>
      <c r="J9" s="1">
        <f>VLOOKUP($A:$A,housing_data_power_query!$A:$F,4,FALSE)</f>
        <v>27796</v>
      </c>
      <c r="K9" s="1">
        <f>VLOOKUP($A:$A,housing_data_power_query!$A:$F,5,FALSE)</f>
        <v>27983</v>
      </c>
      <c r="L9" s="1">
        <f>VLOOKUP($A:$A,housing_data_power_query!$A:$F,6,FALSE)</f>
        <v>28116</v>
      </c>
      <c r="M9" s="36">
        <f>(L9-H9)/H9</f>
        <v>2.6243749315618497E-2</v>
      </c>
    </row>
    <row r="10" spans="1:16" x14ac:dyDescent="0.2">
      <c r="A10" s="3" t="s">
        <v>8</v>
      </c>
      <c r="B10" s="4">
        <v>103747</v>
      </c>
      <c r="C10" s="4">
        <v>103116</v>
      </c>
      <c r="D10" s="4">
        <v>102754</v>
      </c>
      <c r="E10" s="4">
        <v>102774</v>
      </c>
      <c r="F10" s="4">
        <v>102651</v>
      </c>
      <c r="G10" s="33">
        <f>(F10-B10)/B10</f>
        <v>-1.056416089139927E-2</v>
      </c>
      <c r="H10" s="1">
        <f>VLOOKUP($A:$A,housing_data_power_query!$A:$F,2,FALSE)</f>
        <v>48564</v>
      </c>
      <c r="I10" s="1">
        <f>VLOOKUP($A:$A,housing_data_power_query!$A:$F,3,FALSE)</f>
        <v>48650</v>
      </c>
      <c r="J10" s="1">
        <f>VLOOKUP($A:$A,housing_data_power_query!$A:$F,4,FALSE)</f>
        <v>48680</v>
      </c>
      <c r="K10" s="1">
        <f>VLOOKUP($A:$A,housing_data_power_query!$A:$F,5,FALSE)</f>
        <v>48701</v>
      </c>
      <c r="L10" s="1">
        <f>VLOOKUP($A:$A,housing_data_power_query!$A:$F,6,FALSE)</f>
        <v>48679</v>
      </c>
      <c r="M10" s="36">
        <f>(L10-H10)/H10</f>
        <v>2.3680092249402851E-3</v>
      </c>
    </row>
    <row r="11" spans="1:16" x14ac:dyDescent="0.2">
      <c r="A11" s="3" t="s">
        <v>9</v>
      </c>
      <c r="B11" s="4">
        <v>17993</v>
      </c>
      <c r="C11" s="4">
        <v>18240</v>
      </c>
      <c r="D11" s="4">
        <v>18336</v>
      </c>
      <c r="E11" s="4">
        <v>18460</v>
      </c>
      <c r="F11" s="4">
        <v>18520</v>
      </c>
      <c r="G11" s="33">
        <f>(F11-B11)/B11</f>
        <v>2.9289168009781583E-2</v>
      </c>
      <c r="H11" s="1">
        <f>VLOOKUP($A:$A,housing_data_power_query!$A:$F,2,FALSE)</f>
        <v>12115</v>
      </c>
      <c r="I11" s="1">
        <f>VLOOKUP($A:$A,housing_data_power_query!$A:$F,3,FALSE)</f>
        <v>12200</v>
      </c>
      <c r="J11" s="1">
        <f>VLOOKUP($A:$A,housing_data_power_query!$A:$F,4,FALSE)</f>
        <v>12305</v>
      </c>
      <c r="K11" s="1">
        <f>VLOOKUP($A:$A,housing_data_power_query!$A:$F,5,FALSE)</f>
        <v>12448</v>
      </c>
      <c r="L11" s="1">
        <f>VLOOKUP($A:$A,housing_data_power_query!$A:$F,6,FALSE)</f>
        <v>12573</v>
      </c>
      <c r="M11" s="36">
        <f>(L11-H11)/H11</f>
        <v>3.7804374742055301E-2</v>
      </c>
    </row>
    <row r="12" spans="1:16" x14ac:dyDescent="0.2">
      <c r="A12" s="3" t="s">
        <v>10</v>
      </c>
      <c r="B12" s="4">
        <v>154426</v>
      </c>
      <c r="C12" s="4">
        <v>153598</v>
      </c>
      <c r="D12" s="4">
        <v>153064</v>
      </c>
      <c r="E12" s="4">
        <v>152651</v>
      </c>
      <c r="F12" s="4">
        <v>152703</v>
      </c>
      <c r="G12" s="33">
        <f>(F12-B12)/B12</f>
        <v>-1.1157447580070713E-2</v>
      </c>
      <c r="H12" s="1">
        <f>VLOOKUP($A:$A,housing_data_power_query!$A:$F,2,FALSE)</f>
        <v>76846</v>
      </c>
      <c r="I12" s="1">
        <f>VLOOKUP($A:$A,housing_data_power_query!$A:$F,3,FALSE)</f>
        <v>77028</v>
      </c>
      <c r="J12" s="1">
        <f>VLOOKUP($A:$A,housing_data_power_query!$A:$F,4,FALSE)</f>
        <v>77284</v>
      </c>
      <c r="K12" s="1">
        <f>VLOOKUP($A:$A,housing_data_power_query!$A:$F,5,FALSE)</f>
        <v>77495</v>
      </c>
      <c r="L12" s="1">
        <f>VLOOKUP($A:$A,housing_data_power_query!$A:$F,6,FALSE)</f>
        <v>77754</v>
      </c>
      <c r="M12" s="36">
        <f>(L12-H12)/H12</f>
        <v>1.1815839471150093E-2</v>
      </c>
    </row>
    <row r="13" spans="1:16" x14ac:dyDescent="0.2">
      <c r="A13" s="3" t="s">
        <v>11</v>
      </c>
      <c r="B13" s="4">
        <v>44878</v>
      </c>
      <c r="C13" s="4">
        <v>45209</v>
      </c>
      <c r="D13" s="4">
        <v>44612</v>
      </c>
      <c r="E13" s="4">
        <v>45613</v>
      </c>
      <c r="F13" s="4">
        <v>46187</v>
      </c>
      <c r="G13" s="33">
        <f>(F13-B13)/B13</f>
        <v>2.9167966486920095E-2</v>
      </c>
      <c r="H13" s="1">
        <f>VLOOKUP($A:$A,housing_data_power_query!$A:$F,2,FALSE)</f>
        <v>20766</v>
      </c>
      <c r="I13" s="1">
        <f>VLOOKUP($A:$A,housing_data_power_query!$A:$F,3,FALSE)</f>
        <v>20807</v>
      </c>
      <c r="J13" s="1">
        <f>VLOOKUP($A:$A,housing_data_power_query!$A:$F,4,FALSE)</f>
        <v>20855</v>
      </c>
      <c r="K13" s="1">
        <f>VLOOKUP($A:$A,housing_data_power_query!$A:$F,5,FALSE)</f>
        <v>21214</v>
      </c>
      <c r="L13" s="1">
        <f>VLOOKUP($A:$A,housing_data_power_query!$A:$F,6,FALSE)</f>
        <v>21251</v>
      </c>
      <c r="M13" s="36">
        <f>(L13-H13)/H13</f>
        <v>2.3355484927284984E-2</v>
      </c>
    </row>
    <row r="14" spans="1:16" x14ac:dyDescent="0.2">
      <c r="A14" s="3" t="s">
        <v>12</v>
      </c>
      <c r="B14" s="4">
        <v>134219</v>
      </c>
      <c r="C14" s="4">
        <v>133905</v>
      </c>
      <c r="D14" s="4">
        <v>133475</v>
      </c>
      <c r="E14" s="4">
        <v>133505</v>
      </c>
      <c r="F14" s="4">
        <v>133785</v>
      </c>
      <c r="G14" s="33">
        <f>(F14-B14)/B14</f>
        <v>-3.2335213345353491E-3</v>
      </c>
      <c r="H14" s="1">
        <f>VLOOKUP($A:$A,housing_data_power_query!$A:$F,2,FALSE)</f>
        <v>59510</v>
      </c>
      <c r="I14" s="1">
        <f>VLOOKUP($A:$A,housing_data_power_query!$A:$F,3,FALSE)</f>
        <v>59552</v>
      </c>
      <c r="J14" s="1">
        <f>VLOOKUP($A:$A,housing_data_power_query!$A:$F,4,FALSE)</f>
        <v>59617</v>
      </c>
      <c r="K14" s="1">
        <f>VLOOKUP($A:$A,housing_data_power_query!$A:$F,5,FALSE)</f>
        <v>59666</v>
      </c>
      <c r="L14" s="1">
        <f>VLOOKUP($A:$A,housing_data_power_query!$A:$F,6,FALSE)</f>
        <v>59730</v>
      </c>
      <c r="M14" s="36">
        <f>(L14-H14)/H14</f>
        <v>3.6968576709796672E-3</v>
      </c>
    </row>
    <row r="15" spans="1:16" x14ac:dyDescent="0.2">
      <c r="A15" s="3" t="s">
        <v>13</v>
      </c>
      <c r="B15" s="4">
        <v>51553</v>
      </c>
      <c r="C15" s="4">
        <v>51523</v>
      </c>
      <c r="D15" s="4">
        <v>51409</v>
      </c>
      <c r="E15" s="4">
        <v>51566</v>
      </c>
      <c r="F15" s="4">
        <v>51550</v>
      </c>
      <c r="G15" s="33">
        <f>(F15-B15)/B15</f>
        <v>-5.8192539716408353E-5</v>
      </c>
      <c r="H15" s="1">
        <f>VLOOKUP($A:$A,housing_data_power_query!$A:$F,2,FALSE)</f>
        <v>25312</v>
      </c>
      <c r="I15" s="1">
        <f>VLOOKUP($A:$A,housing_data_power_query!$A:$F,3,FALSE)</f>
        <v>25567</v>
      </c>
      <c r="J15" s="1">
        <f>VLOOKUP($A:$A,housing_data_power_query!$A:$F,4,FALSE)</f>
        <v>25690</v>
      </c>
      <c r="K15" s="1">
        <f>VLOOKUP($A:$A,housing_data_power_query!$A:$F,5,FALSE)</f>
        <v>25836</v>
      </c>
      <c r="L15" s="1">
        <f>VLOOKUP($A:$A,housing_data_power_query!$A:$F,6,FALSE)</f>
        <v>25950</v>
      </c>
      <c r="M15" s="36">
        <f>(L15-H15)/H15</f>
        <v>2.5205436156763589E-2</v>
      </c>
    </row>
    <row r="16" spans="1:16" x14ac:dyDescent="0.2">
      <c r="A16" s="3" t="s">
        <v>14</v>
      </c>
      <c r="B16" s="4">
        <v>26035</v>
      </c>
      <c r="C16" s="4">
        <v>26192</v>
      </c>
      <c r="D16" s="4">
        <v>26117</v>
      </c>
      <c r="E16" s="4">
        <v>26089</v>
      </c>
      <c r="F16" s="4">
        <v>26105</v>
      </c>
      <c r="G16" s="33">
        <f>(F16-B16)/B16</f>
        <v>2.6886883042058769E-3</v>
      </c>
      <c r="H16" s="1">
        <f>VLOOKUP($A:$A,housing_data_power_query!$A:$F,2,FALSE)</f>
        <v>17473</v>
      </c>
      <c r="I16" s="1">
        <f>VLOOKUP($A:$A,housing_data_power_query!$A:$F,3,FALSE)</f>
        <v>17573</v>
      </c>
      <c r="J16" s="1">
        <f>VLOOKUP($A:$A,housing_data_power_query!$A:$F,4,FALSE)</f>
        <v>17685</v>
      </c>
      <c r="K16" s="1">
        <f>VLOOKUP($A:$A,housing_data_power_query!$A:$F,5,FALSE)</f>
        <v>17799</v>
      </c>
      <c r="L16" s="1">
        <f>VLOOKUP($A:$A,housing_data_power_query!$A:$F,6,FALSE)</f>
        <v>17894</v>
      </c>
      <c r="M16" s="36">
        <f>(L16-H16)/H16</f>
        <v>2.4094316946145482E-2</v>
      </c>
    </row>
    <row r="17" spans="1:13" x14ac:dyDescent="0.2">
      <c r="A17" s="3" t="s">
        <v>15</v>
      </c>
      <c r="B17" s="4">
        <v>25585</v>
      </c>
      <c r="C17" s="4">
        <v>25746</v>
      </c>
      <c r="D17" s="4">
        <v>25946</v>
      </c>
      <c r="E17" s="4">
        <v>26078</v>
      </c>
      <c r="F17" s="4">
        <v>25964</v>
      </c>
      <c r="G17" s="33">
        <f>(F17-B17)/B17</f>
        <v>1.4813367207348056E-2</v>
      </c>
      <c r="H17" s="1">
        <f>VLOOKUP($A:$A,housing_data_power_query!$A:$F,2,FALSE)</f>
        <v>17639</v>
      </c>
      <c r="I17" s="1">
        <f>VLOOKUP($A:$A,housing_data_power_query!$A:$F,3,FALSE)</f>
        <v>17702</v>
      </c>
      <c r="J17" s="1">
        <f>VLOOKUP($A:$A,housing_data_power_query!$A:$F,4,FALSE)</f>
        <v>17779</v>
      </c>
      <c r="K17" s="1">
        <f>VLOOKUP($A:$A,housing_data_power_query!$A:$F,5,FALSE)</f>
        <v>17882</v>
      </c>
      <c r="L17" s="1">
        <f>VLOOKUP($A:$A,housing_data_power_query!$A:$F,6,FALSE)</f>
        <v>17946</v>
      </c>
      <c r="M17" s="36">
        <f>(L17-H17)/H17</f>
        <v>1.7404614774080163E-2</v>
      </c>
    </row>
    <row r="18" spans="1:13" x14ac:dyDescent="0.2">
      <c r="A18" s="3" t="s">
        <v>16</v>
      </c>
      <c r="B18" s="4">
        <v>36787</v>
      </c>
      <c r="C18" s="4">
        <v>35861</v>
      </c>
      <c r="D18" s="4">
        <v>36236</v>
      </c>
      <c r="E18" s="4">
        <v>36340</v>
      </c>
      <c r="F18" s="4">
        <v>36253</v>
      </c>
      <c r="G18" s="33">
        <f>(F18-B18)/B18</f>
        <v>-1.4515997499116536E-2</v>
      </c>
      <c r="H18" s="1">
        <f>VLOOKUP($A:$A,housing_data_power_query!$A:$F,2,FALSE)</f>
        <v>20287</v>
      </c>
      <c r="I18" s="1">
        <f>VLOOKUP($A:$A,housing_data_power_query!$A:$F,3,FALSE)</f>
        <v>20321</v>
      </c>
      <c r="J18" s="1">
        <f>VLOOKUP($A:$A,housing_data_power_query!$A:$F,4,FALSE)</f>
        <v>20376</v>
      </c>
      <c r="K18" s="1">
        <f>VLOOKUP($A:$A,housing_data_power_query!$A:$F,5,FALSE)</f>
        <v>20419</v>
      </c>
      <c r="L18" s="1">
        <f>VLOOKUP($A:$A,housing_data_power_query!$A:$F,6,FALSE)</f>
        <v>20490</v>
      </c>
      <c r="M18" s="36">
        <f>(L18-H18)/H18</f>
        <v>1.0006408044560556E-2</v>
      </c>
    </row>
    <row r="19" spans="1:13" x14ac:dyDescent="0.2">
      <c r="A19" s="3" t="s">
        <v>17</v>
      </c>
      <c r="B19" s="4">
        <v>30843</v>
      </c>
      <c r="C19" s="4">
        <v>31143</v>
      </c>
      <c r="D19" s="4">
        <v>31321</v>
      </c>
      <c r="E19" s="4">
        <v>31376</v>
      </c>
      <c r="F19" s="4">
        <v>31405</v>
      </c>
      <c r="G19" s="33">
        <f>(F19-B19)/B19</f>
        <v>1.8221314398729049E-2</v>
      </c>
      <c r="H19" s="1">
        <f>VLOOKUP($A:$A,housing_data_power_query!$A:$F,2,FALSE)</f>
        <v>21833</v>
      </c>
      <c r="I19" s="1">
        <f>VLOOKUP($A:$A,housing_data_power_query!$A:$F,3,FALSE)</f>
        <v>21924</v>
      </c>
      <c r="J19" s="1">
        <f>VLOOKUP($A:$A,housing_data_power_query!$A:$F,4,FALSE)</f>
        <v>22007</v>
      </c>
      <c r="K19" s="1">
        <f>VLOOKUP($A:$A,housing_data_power_query!$A:$F,5,FALSE)</f>
        <v>22094</v>
      </c>
      <c r="L19" s="1">
        <f>VLOOKUP($A:$A,housing_data_power_query!$A:$F,6,FALSE)</f>
        <v>22150</v>
      </c>
      <c r="M19" s="36">
        <f>(L19-H19)/H19</f>
        <v>1.4519305638254019E-2</v>
      </c>
    </row>
    <row r="20" spans="1:13" x14ac:dyDescent="0.2">
      <c r="A20" s="3" t="s">
        <v>18</v>
      </c>
      <c r="B20" s="4">
        <v>79171</v>
      </c>
      <c r="C20" s="4">
        <v>79432</v>
      </c>
      <c r="D20" s="4">
        <v>79652</v>
      </c>
      <c r="E20" s="4">
        <v>79823</v>
      </c>
      <c r="F20" s="4">
        <v>80050</v>
      </c>
      <c r="G20" s="33">
        <f>(F20-B20)/B20</f>
        <v>1.1102550176200881E-2</v>
      </c>
      <c r="H20" s="1">
        <f>VLOOKUP($A:$A,housing_data_power_query!$A:$F,2,FALSE)</f>
        <v>32889</v>
      </c>
      <c r="I20" s="1">
        <f>VLOOKUP($A:$A,housing_data_power_query!$A:$F,3,FALSE)</f>
        <v>33210</v>
      </c>
      <c r="J20" s="1">
        <f>VLOOKUP($A:$A,housing_data_power_query!$A:$F,4,FALSE)</f>
        <v>33387</v>
      </c>
      <c r="K20" s="1">
        <f>VLOOKUP($A:$A,housing_data_power_query!$A:$F,5,FALSE)</f>
        <v>33507</v>
      </c>
      <c r="L20" s="1">
        <f>VLOOKUP($A:$A,housing_data_power_query!$A:$F,6,FALSE)</f>
        <v>33632</v>
      </c>
      <c r="M20" s="36">
        <f>(L20-H20)/H20</f>
        <v>2.2591139894797652E-2</v>
      </c>
    </row>
    <row r="21" spans="1:13" x14ac:dyDescent="0.2">
      <c r="A21" s="3" t="s">
        <v>19</v>
      </c>
      <c r="B21" s="4">
        <v>12987</v>
      </c>
      <c r="C21" s="4">
        <v>13271</v>
      </c>
      <c r="D21" s="4">
        <v>13431</v>
      </c>
      <c r="E21" s="4">
        <v>13557</v>
      </c>
      <c r="F21" s="4">
        <v>13599</v>
      </c>
      <c r="G21" s="33">
        <f>(F21-B21)/B21</f>
        <v>4.7124047124047122E-2</v>
      </c>
      <c r="H21" s="1">
        <f>VLOOKUP($A:$A,housing_data_power_query!$A:$F,2,FALSE)</f>
        <v>10182</v>
      </c>
      <c r="I21" s="1">
        <f>VLOOKUP($A:$A,housing_data_power_query!$A:$F,3,FALSE)</f>
        <v>10224</v>
      </c>
      <c r="J21" s="1">
        <f>VLOOKUP($A:$A,housing_data_power_query!$A:$F,4,FALSE)</f>
        <v>10270</v>
      </c>
      <c r="K21" s="1">
        <f>VLOOKUP($A:$A,housing_data_power_query!$A:$F,5,FALSE)</f>
        <v>10449</v>
      </c>
      <c r="L21" s="1">
        <f>VLOOKUP($A:$A,housing_data_power_query!$A:$F,6,FALSE)</f>
        <v>10482</v>
      </c>
      <c r="M21" s="36">
        <f>(L21-H21)/H21</f>
        <v>2.9463759575721862E-2</v>
      </c>
    </row>
    <row r="22" spans="1:13" x14ac:dyDescent="0.2">
      <c r="A22" s="3" t="s">
        <v>20</v>
      </c>
      <c r="B22" s="4">
        <v>36874</v>
      </c>
      <c r="C22" s="4">
        <v>36838</v>
      </c>
      <c r="D22" s="4">
        <v>36818</v>
      </c>
      <c r="E22" s="4">
        <v>36846</v>
      </c>
      <c r="F22" s="4">
        <v>36687</v>
      </c>
      <c r="G22" s="33">
        <f>(F22-B22)/B22</f>
        <v>-5.0713239681076097E-3</v>
      </c>
      <c r="H22" s="1">
        <f>VLOOKUP($A:$A,housing_data_power_query!$A:$F,2,FALSE)</f>
        <v>19788</v>
      </c>
      <c r="I22" s="1">
        <f>VLOOKUP($A:$A,housing_data_power_query!$A:$F,3,FALSE)</f>
        <v>19812</v>
      </c>
      <c r="J22" s="1">
        <f>VLOOKUP($A:$A,housing_data_power_query!$A:$F,4,FALSE)</f>
        <v>19841</v>
      </c>
      <c r="K22" s="1">
        <f>VLOOKUP($A:$A,housing_data_power_query!$A:$F,5,FALSE)</f>
        <v>19869</v>
      </c>
      <c r="L22" s="1">
        <f>VLOOKUP($A:$A,housing_data_power_query!$A:$F,6,FALSE)</f>
        <v>19886</v>
      </c>
      <c r="M22" s="36">
        <f>(L22-H22)/H22</f>
        <v>4.9524964625025265E-3</v>
      </c>
    </row>
    <row r="23" spans="1:13" x14ac:dyDescent="0.2">
      <c r="A23" s="3" t="s">
        <v>21</v>
      </c>
      <c r="B23" s="4">
        <v>25907</v>
      </c>
      <c r="C23" s="4">
        <v>25824</v>
      </c>
      <c r="D23" s="4">
        <v>25977</v>
      </c>
      <c r="E23" s="4">
        <v>26069</v>
      </c>
      <c r="F23" s="4">
        <v>25995</v>
      </c>
      <c r="G23" s="33">
        <f>(F23-B23)/B23</f>
        <v>3.3967653529933996E-3</v>
      </c>
      <c r="H23" s="1">
        <f>VLOOKUP($A:$A,housing_data_power_query!$A:$F,2,FALSE)</f>
        <v>13919</v>
      </c>
      <c r="I23" s="1">
        <f>VLOOKUP($A:$A,housing_data_power_query!$A:$F,3,FALSE)</f>
        <v>13939</v>
      </c>
      <c r="J23" s="1">
        <f>VLOOKUP($A:$A,housing_data_power_query!$A:$F,4,FALSE)</f>
        <v>13961</v>
      </c>
      <c r="K23" s="1">
        <f>VLOOKUP($A:$A,housing_data_power_query!$A:$F,5,FALSE)</f>
        <v>13985</v>
      </c>
      <c r="L23" s="1">
        <f>VLOOKUP($A:$A,housing_data_power_query!$A:$F,6,FALSE)</f>
        <v>14012</v>
      </c>
      <c r="M23" s="36">
        <f>(L23-H23)/H23</f>
        <v>6.6815144766146995E-3</v>
      </c>
    </row>
    <row r="24" spans="1:13" x14ac:dyDescent="0.2">
      <c r="A24" s="3" t="s">
        <v>22</v>
      </c>
      <c r="B24" s="4">
        <v>109199</v>
      </c>
      <c r="C24" s="4">
        <v>108921</v>
      </c>
      <c r="D24" s="4">
        <v>108962</v>
      </c>
      <c r="E24" s="4">
        <v>109072</v>
      </c>
      <c r="F24" s="4">
        <v>109494</v>
      </c>
      <c r="G24" s="33">
        <f>(F24-B24)/B24</f>
        <v>2.7014899403840693E-3</v>
      </c>
      <c r="H24" s="1">
        <f>VLOOKUP($A:$A,housing_data_power_query!$A:$F,2,FALSE)</f>
        <v>47513</v>
      </c>
      <c r="I24" s="1">
        <f>VLOOKUP($A:$A,housing_data_power_query!$A:$F,3,FALSE)</f>
        <v>47612</v>
      </c>
      <c r="J24" s="1">
        <f>VLOOKUP($A:$A,housing_data_power_query!$A:$F,4,FALSE)</f>
        <v>47709</v>
      </c>
      <c r="K24" s="1">
        <f>VLOOKUP($A:$A,housing_data_power_query!$A:$F,5,FALSE)</f>
        <v>47892</v>
      </c>
      <c r="L24" s="1">
        <f>VLOOKUP($A:$A,housing_data_power_query!$A:$F,6,FALSE)</f>
        <v>47969</v>
      </c>
      <c r="M24" s="36">
        <f>(L24-H24)/H24</f>
        <v>9.5973733504514554E-3</v>
      </c>
    </row>
    <row r="25" spans="1:13" x14ac:dyDescent="0.2">
      <c r="A25" s="3" t="s">
        <v>23</v>
      </c>
      <c r="B25" s="4">
        <v>34113</v>
      </c>
      <c r="C25" s="4">
        <v>34303</v>
      </c>
      <c r="D25" s="4">
        <v>34204</v>
      </c>
      <c r="E25" s="4">
        <v>34039</v>
      </c>
      <c r="F25" s="4">
        <v>33949</v>
      </c>
      <c r="G25" s="33">
        <f>(F25-B25)/B25</f>
        <v>-4.8075513733767186E-3</v>
      </c>
      <c r="H25" s="1">
        <f>VLOOKUP($A:$A,housing_data_power_query!$A:$F,2,FALSE)</f>
        <v>21781</v>
      </c>
      <c r="I25" s="1">
        <f>VLOOKUP($A:$A,housing_data_power_query!$A:$F,3,FALSE)</f>
        <v>21855</v>
      </c>
      <c r="J25" s="1">
        <f>VLOOKUP($A:$A,housing_data_power_query!$A:$F,4,FALSE)</f>
        <v>21983</v>
      </c>
      <c r="K25" s="1">
        <f>VLOOKUP($A:$A,housing_data_power_query!$A:$F,5,FALSE)</f>
        <v>22105</v>
      </c>
      <c r="L25" s="1">
        <f>VLOOKUP($A:$A,housing_data_power_query!$A:$F,6,FALSE)</f>
        <v>22240</v>
      </c>
      <c r="M25" s="36">
        <f>(L25-H25)/H25</f>
        <v>2.1073412607318306E-2</v>
      </c>
    </row>
    <row r="26" spans="1:13" x14ac:dyDescent="0.2">
      <c r="A26" s="3" t="s">
        <v>24</v>
      </c>
      <c r="B26" s="4">
        <v>405793</v>
      </c>
      <c r="C26" s="4">
        <v>404713</v>
      </c>
      <c r="D26" s="4">
        <v>402031</v>
      </c>
      <c r="E26" s="4">
        <v>401711</v>
      </c>
      <c r="F26" s="4">
        <v>402279</v>
      </c>
      <c r="G26" s="33">
        <f>(F26-B26)/B26</f>
        <v>-8.6595875236881864E-3</v>
      </c>
      <c r="H26" s="1">
        <f>VLOOKUP($A:$A,housing_data_power_query!$A:$F,2,FALSE)</f>
        <v>183185</v>
      </c>
      <c r="I26" s="1">
        <f>VLOOKUP($A:$A,housing_data_power_query!$A:$F,3,FALSE)</f>
        <v>183570</v>
      </c>
      <c r="J26" s="1">
        <f>VLOOKUP($A:$A,housing_data_power_query!$A:$F,4,FALSE)</f>
        <v>183995</v>
      </c>
      <c r="K26" s="1">
        <f>VLOOKUP($A:$A,housing_data_power_query!$A:$F,5,FALSE)</f>
        <v>184315</v>
      </c>
      <c r="L26" s="1">
        <f>VLOOKUP($A:$A,housing_data_power_query!$A:$F,6,FALSE)</f>
        <v>184543</v>
      </c>
      <c r="M26" s="36">
        <f>(L26-H26)/H26</f>
        <v>7.4132707372328516E-3</v>
      </c>
    </row>
    <row r="27" spans="1:13" x14ac:dyDescent="0.2">
      <c r="A27" s="3" t="s">
        <v>25</v>
      </c>
      <c r="B27" s="4">
        <v>25370</v>
      </c>
      <c r="C27" s="4">
        <v>25475</v>
      </c>
      <c r="D27" s="4">
        <v>25667</v>
      </c>
      <c r="E27" s="4">
        <v>25959</v>
      </c>
      <c r="F27" s="4">
        <v>25995</v>
      </c>
      <c r="G27" s="33">
        <f>(F27-B27)/B27</f>
        <v>2.4635396137169887E-2</v>
      </c>
      <c r="H27" s="1">
        <f>VLOOKUP($A:$A,housing_data_power_query!$A:$F,2,FALSE)</f>
        <v>16872</v>
      </c>
      <c r="I27" s="1">
        <f>VLOOKUP($A:$A,housing_data_power_query!$A:$F,3,FALSE)</f>
        <v>16957</v>
      </c>
      <c r="J27" s="1">
        <f>VLOOKUP($A:$A,housing_data_power_query!$A:$F,4,FALSE)</f>
        <v>17057</v>
      </c>
      <c r="K27" s="1">
        <f>VLOOKUP($A:$A,housing_data_power_query!$A:$F,5,FALSE)</f>
        <v>17151</v>
      </c>
      <c r="L27" s="1">
        <f>VLOOKUP($A:$A,housing_data_power_query!$A:$F,6,FALSE)</f>
        <v>17234</v>
      </c>
      <c r="M27" s="36">
        <f>(L27-H27)/H27</f>
        <v>2.1455666192508299E-2</v>
      </c>
    </row>
    <row r="28" spans="1:13" x14ac:dyDescent="0.2">
      <c r="A28" s="3" t="s">
        <v>26</v>
      </c>
      <c r="B28" s="4">
        <v>14346</v>
      </c>
      <c r="C28" s="4">
        <v>14372</v>
      </c>
      <c r="D28" s="4">
        <v>14399</v>
      </c>
      <c r="E28" s="4">
        <v>14263</v>
      </c>
      <c r="F28" s="4">
        <v>14217</v>
      </c>
      <c r="G28" s="33">
        <f>(F28-B28)/B28</f>
        <v>-8.9920535340861571E-3</v>
      </c>
      <c r="H28" s="1">
        <f>VLOOKUP($A:$A,housing_data_power_query!$A:$F,2,FALSE)</f>
        <v>10393</v>
      </c>
      <c r="I28" s="1">
        <f>VLOOKUP($A:$A,housing_data_power_query!$A:$F,3,FALSE)</f>
        <v>10395</v>
      </c>
      <c r="J28" s="1">
        <f>VLOOKUP($A:$A,housing_data_power_query!$A:$F,4,FALSE)</f>
        <v>10392</v>
      </c>
      <c r="K28" s="1">
        <f>VLOOKUP($A:$A,housing_data_power_query!$A:$F,5,FALSE)</f>
        <v>10396</v>
      </c>
      <c r="L28" s="1">
        <f>VLOOKUP($A:$A,housing_data_power_query!$A:$F,6,FALSE)</f>
        <v>10408</v>
      </c>
      <c r="M28" s="36">
        <f>(L28-H28)/H28</f>
        <v>1.4432791301837776E-3</v>
      </c>
    </row>
    <row r="29" spans="1:13" x14ac:dyDescent="0.2">
      <c r="A29" s="3" t="s">
        <v>27</v>
      </c>
      <c r="B29" s="4">
        <v>95427</v>
      </c>
      <c r="C29" s="4">
        <v>95985</v>
      </c>
      <c r="D29" s="4">
        <v>96337</v>
      </c>
      <c r="E29" s="4">
        <v>96457</v>
      </c>
      <c r="F29" s="4">
        <v>96625</v>
      </c>
      <c r="G29" s="33">
        <f>(F29-B29)/B29</f>
        <v>1.2554098944743103E-2</v>
      </c>
      <c r="H29" s="1">
        <f>VLOOKUP($A:$A,housing_data_power_query!$A:$F,2,FALSE)</f>
        <v>45903</v>
      </c>
      <c r="I29" s="1">
        <f>VLOOKUP($A:$A,housing_data_power_query!$A:$F,3,FALSE)</f>
        <v>46352</v>
      </c>
      <c r="J29" s="1">
        <f>VLOOKUP($A:$A,housing_data_power_query!$A:$F,4,FALSE)</f>
        <v>46892</v>
      </c>
      <c r="K29" s="1">
        <f>VLOOKUP($A:$A,housing_data_power_query!$A:$F,5,FALSE)</f>
        <v>47588</v>
      </c>
      <c r="L29" s="1">
        <f>VLOOKUP($A:$A,housing_data_power_query!$A:$F,6,FALSE)</f>
        <v>48178</v>
      </c>
      <c r="M29" s="36">
        <f>(L29-H29)/H29</f>
        <v>4.9561030869442087E-2</v>
      </c>
    </row>
    <row r="30" spans="1:13" x14ac:dyDescent="0.2">
      <c r="A30" s="3" t="s">
        <v>28</v>
      </c>
      <c r="B30" s="4">
        <v>41687</v>
      </c>
      <c r="C30" s="4">
        <v>41298</v>
      </c>
      <c r="D30" s="4">
        <v>41134</v>
      </c>
      <c r="E30" s="4">
        <v>41434</v>
      </c>
      <c r="F30" s="4">
        <v>41372</v>
      </c>
      <c r="G30" s="33">
        <f>(F30-B30)/B30</f>
        <v>-7.5563125194904887E-3</v>
      </c>
      <c r="H30" s="1">
        <f>VLOOKUP($A:$A,housing_data_power_query!$A:$F,2,FALSE)</f>
        <v>16033</v>
      </c>
      <c r="I30" s="1">
        <f>VLOOKUP($A:$A,housing_data_power_query!$A:$F,3,FALSE)</f>
        <v>16060</v>
      </c>
      <c r="J30" s="1">
        <f>VLOOKUP($A:$A,housing_data_power_query!$A:$F,4,FALSE)</f>
        <v>16098</v>
      </c>
      <c r="K30" s="1">
        <f>VLOOKUP($A:$A,housing_data_power_query!$A:$F,5,FALSE)</f>
        <v>16131</v>
      </c>
      <c r="L30" s="1">
        <f>VLOOKUP($A:$A,housing_data_power_query!$A:$F,6,FALSE)</f>
        <v>16159</v>
      </c>
      <c r="M30" s="36">
        <f>(L30-H30)/H30</f>
        <v>7.8587912430611861E-3</v>
      </c>
    </row>
    <row r="31" spans="1:13" x14ac:dyDescent="0.2">
      <c r="A31" s="3" t="s">
        <v>29</v>
      </c>
      <c r="B31" s="4">
        <v>45730</v>
      </c>
      <c r="C31" s="4">
        <v>45622</v>
      </c>
      <c r="D31" s="4">
        <v>45714</v>
      </c>
      <c r="E31" s="4">
        <v>45616</v>
      </c>
      <c r="F31" s="4">
        <v>45590</v>
      </c>
      <c r="G31" s="33">
        <f>(F31-B31)/B31</f>
        <v>-3.0614476273780888E-3</v>
      </c>
      <c r="H31" s="1">
        <f>VLOOKUP($A:$A,housing_data_power_query!$A:$F,2,FALSE)</f>
        <v>21410</v>
      </c>
      <c r="I31" s="1">
        <f>VLOOKUP($A:$A,housing_data_power_query!$A:$F,3,FALSE)</f>
        <v>21477</v>
      </c>
      <c r="J31" s="1">
        <f>VLOOKUP($A:$A,housing_data_power_query!$A:$F,4,FALSE)</f>
        <v>21542</v>
      </c>
      <c r="K31" s="1">
        <f>VLOOKUP($A:$A,housing_data_power_query!$A:$F,5,FALSE)</f>
        <v>21594</v>
      </c>
      <c r="L31" s="1">
        <f>VLOOKUP($A:$A,housing_data_power_query!$A:$F,6,FALSE)</f>
        <v>21667</v>
      </c>
      <c r="M31" s="36">
        <f>(L31-H31)/H31</f>
        <v>1.200373657169547E-2</v>
      </c>
    </row>
    <row r="32" spans="1:13" x14ac:dyDescent="0.2">
      <c r="A32" s="3" t="s">
        <v>30</v>
      </c>
      <c r="B32" s="4">
        <v>37256</v>
      </c>
      <c r="C32" s="4">
        <v>37528</v>
      </c>
      <c r="D32" s="4">
        <v>37792</v>
      </c>
      <c r="E32" s="4">
        <v>37847</v>
      </c>
      <c r="F32" s="4">
        <v>38041</v>
      </c>
      <c r="G32" s="33">
        <f>(F32-B32)/B32</f>
        <v>2.1070431608331545E-2</v>
      </c>
      <c r="H32" s="1">
        <f>VLOOKUP($A:$A,housing_data_power_query!$A:$F,2,FALSE)</f>
        <v>18636</v>
      </c>
      <c r="I32" s="1">
        <f>VLOOKUP($A:$A,housing_data_power_query!$A:$F,3,FALSE)</f>
        <v>18663</v>
      </c>
      <c r="J32" s="1">
        <f>VLOOKUP($A:$A,housing_data_power_query!$A:$F,4,FALSE)</f>
        <v>18805</v>
      </c>
      <c r="K32" s="1">
        <f>VLOOKUP($A:$A,housing_data_power_query!$A:$F,5,FALSE)</f>
        <v>19112</v>
      </c>
      <c r="L32" s="1">
        <f>VLOOKUP($A:$A,housing_data_power_query!$A:$F,6,FALSE)</f>
        <v>19201</v>
      </c>
      <c r="M32" s="36">
        <f>(L32-H32)/H32</f>
        <v>3.0317664734921656E-2</v>
      </c>
    </row>
    <row r="33" spans="1:13" x14ac:dyDescent="0.2">
      <c r="A33" s="3" t="s">
        <v>31</v>
      </c>
      <c r="B33" s="4">
        <v>31372</v>
      </c>
      <c r="C33" s="4">
        <v>31319</v>
      </c>
      <c r="D33" s="4">
        <v>31150</v>
      </c>
      <c r="E33" s="4">
        <v>30943</v>
      </c>
      <c r="F33" s="4">
        <v>30780</v>
      </c>
      <c r="G33" s="33">
        <f>(F33-B33)/B33</f>
        <v>-1.8870330230779039E-2</v>
      </c>
      <c r="H33" s="1">
        <f>VLOOKUP($A:$A,housing_data_power_query!$A:$F,2,FALSE)</f>
        <v>20320</v>
      </c>
      <c r="I33" s="1">
        <f>VLOOKUP($A:$A,housing_data_power_query!$A:$F,3,FALSE)</f>
        <v>20338</v>
      </c>
      <c r="J33" s="1">
        <f>VLOOKUP($A:$A,housing_data_power_query!$A:$F,4,FALSE)</f>
        <v>20360</v>
      </c>
      <c r="K33" s="1">
        <f>VLOOKUP($A:$A,housing_data_power_query!$A:$F,5,FALSE)</f>
        <v>20380</v>
      </c>
      <c r="L33" s="1">
        <f>VLOOKUP($A:$A,housing_data_power_query!$A:$F,6,FALSE)</f>
        <v>20402</v>
      </c>
      <c r="M33" s="36">
        <f>(L33-H33)/H33</f>
        <v>4.0354330708661417E-3</v>
      </c>
    </row>
    <row r="34" spans="1:13" x14ac:dyDescent="0.2">
      <c r="A34" s="3" t="s">
        <v>32</v>
      </c>
      <c r="B34" s="4">
        <v>285007</v>
      </c>
      <c r="C34" s="4">
        <v>271662</v>
      </c>
      <c r="D34" s="4">
        <v>284761</v>
      </c>
      <c r="E34" s="4">
        <v>287710</v>
      </c>
      <c r="F34" s="4">
        <v>290427</v>
      </c>
      <c r="G34" s="33">
        <f>(F34-B34)/B34</f>
        <v>1.9017076773552931E-2</v>
      </c>
      <c r="H34" s="1">
        <f>VLOOKUP($A:$A,housing_data_power_query!$A:$F,2,FALSE)</f>
        <v>125342</v>
      </c>
      <c r="I34" s="1">
        <f>VLOOKUP($A:$A,housing_data_power_query!$A:$F,3,FALSE)</f>
        <v>125763</v>
      </c>
      <c r="J34" s="1">
        <f>VLOOKUP($A:$A,housing_data_power_query!$A:$F,4,FALSE)</f>
        <v>126276</v>
      </c>
      <c r="K34" s="1">
        <f>VLOOKUP($A:$A,housing_data_power_query!$A:$F,5,FALSE)</f>
        <v>126699</v>
      </c>
      <c r="L34" s="1">
        <f>VLOOKUP($A:$A,housing_data_power_query!$A:$F,6,FALSE)</f>
        <v>127166</v>
      </c>
      <c r="M34" s="36">
        <f>(L34-H34)/H34</f>
        <v>1.4552185221234701E-2</v>
      </c>
    </row>
    <row r="35" spans="1:13" x14ac:dyDescent="0.2">
      <c r="A35" s="3" t="s">
        <v>33</v>
      </c>
      <c r="B35" s="4">
        <v>66891</v>
      </c>
      <c r="C35" s="4">
        <v>66853</v>
      </c>
      <c r="D35" s="4">
        <v>66774</v>
      </c>
      <c r="E35" s="4">
        <v>66104</v>
      </c>
      <c r="F35" s="4">
        <v>66250</v>
      </c>
      <c r="G35" s="33">
        <f>(F35-B35)/B35</f>
        <v>-9.5827540326800312E-3</v>
      </c>
      <c r="H35" s="1">
        <f>VLOOKUP($A:$A,housing_data_power_query!$A:$F,2,FALSE)</f>
        <v>24669</v>
      </c>
      <c r="I35" s="1">
        <f>VLOOKUP($A:$A,housing_data_power_query!$A:$F,3,FALSE)</f>
        <v>24742</v>
      </c>
      <c r="J35" s="1">
        <f>VLOOKUP($A:$A,housing_data_power_query!$A:$F,4,FALSE)</f>
        <v>24849</v>
      </c>
      <c r="K35" s="1">
        <f>VLOOKUP($A:$A,housing_data_power_query!$A:$F,5,FALSE)</f>
        <v>24942</v>
      </c>
      <c r="L35" s="1">
        <f>VLOOKUP($A:$A,housing_data_power_query!$A:$F,6,FALSE)</f>
        <v>25033</v>
      </c>
      <c r="M35" s="36">
        <f>(L35-H35)/H35</f>
        <v>1.4755360979366817E-2</v>
      </c>
    </row>
    <row r="36" spans="1:13" x14ac:dyDescent="0.2">
      <c r="A36" s="3" t="s">
        <v>34</v>
      </c>
      <c r="B36" s="4">
        <v>25189</v>
      </c>
      <c r="C36" s="4">
        <v>25362</v>
      </c>
      <c r="D36" s="4">
        <v>25460</v>
      </c>
      <c r="E36" s="4">
        <v>25361</v>
      </c>
      <c r="F36" s="4">
        <v>25361</v>
      </c>
      <c r="G36" s="33">
        <f>(F36-B36)/B36</f>
        <v>6.8283774663543614E-3</v>
      </c>
      <c r="H36" s="1">
        <f>VLOOKUP($A:$A,housing_data_power_query!$A:$F,2,FALSE)</f>
        <v>19864</v>
      </c>
      <c r="I36" s="1">
        <f>VLOOKUP($A:$A,housing_data_power_query!$A:$F,3,FALSE)</f>
        <v>19918</v>
      </c>
      <c r="J36" s="1">
        <f>VLOOKUP($A:$A,housing_data_power_query!$A:$F,4,FALSE)</f>
        <v>20093</v>
      </c>
      <c r="K36" s="1">
        <f>VLOOKUP($A:$A,housing_data_power_query!$A:$F,5,FALSE)</f>
        <v>20127</v>
      </c>
      <c r="L36" s="1">
        <f>VLOOKUP($A:$A,housing_data_power_query!$A:$F,6,FALSE)</f>
        <v>20167</v>
      </c>
      <c r="M36" s="36">
        <f>(L36-H36)/H36</f>
        <v>1.5253725332259363E-2</v>
      </c>
    </row>
    <row r="37" spans="1:13" x14ac:dyDescent="0.2">
      <c r="A37" s="3" t="s">
        <v>35</v>
      </c>
      <c r="B37" s="4">
        <v>11619</v>
      </c>
      <c r="C37" s="4">
        <v>11597</v>
      </c>
      <c r="D37" s="4">
        <v>11686</v>
      </c>
      <c r="E37" s="4">
        <v>11722</v>
      </c>
      <c r="F37" s="4">
        <v>11709</v>
      </c>
      <c r="G37" s="33">
        <f>(F37-B37)/B37</f>
        <v>7.7459333849728895E-3</v>
      </c>
      <c r="H37" s="1">
        <f>VLOOKUP($A:$A,housing_data_power_query!$A:$F,2,FALSE)</f>
        <v>8881</v>
      </c>
      <c r="I37" s="1">
        <f>VLOOKUP($A:$A,housing_data_power_query!$A:$F,3,FALSE)</f>
        <v>9005</v>
      </c>
      <c r="J37" s="1">
        <f>VLOOKUP($A:$A,housing_data_power_query!$A:$F,4,FALSE)</f>
        <v>9149</v>
      </c>
      <c r="K37" s="1">
        <f>VLOOKUP($A:$A,housing_data_power_query!$A:$F,5,FALSE)</f>
        <v>9288</v>
      </c>
      <c r="L37" s="1">
        <f>VLOOKUP($A:$A,housing_data_power_query!$A:$F,6,FALSE)</f>
        <v>9422</v>
      </c>
      <c r="M37" s="36">
        <f>(L37-H37)/H37</f>
        <v>6.0916563450061932E-2</v>
      </c>
    </row>
    <row r="38" spans="1:13" x14ac:dyDescent="0.2">
      <c r="A38" s="3" t="s">
        <v>36</v>
      </c>
      <c r="B38" s="4">
        <v>64521</v>
      </c>
      <c r="C38" s="4">
        <v>64264</v>
      </c>
      <c r="D38" s="4">
        <v>64483</v>
      </c>
      <c r="E38" s="4">
        <v>64485</v>
      </c>
      <c r="F38" s="4">
        <v>65072</v>
      </c>
      <c r="G38" s="33">
        <f>(F38-B38)/B38</f>
        <v>8.5398552409293102E-3</v>
      </c>
      <c r="H38" s="1">
        <f>VLOOKUP($A:$A,housing_data_power_query!$A:$F,2,FALSE)</f>
        <v>28507</v>
      </c>
      <c r="I38" s="1">
        <f>VLOOKUP($A:$A,housing_data_power_query!$A:$F,3,FALSE)</f>
        <v>28613</v>
      </c>
      <c r="J38" s="1">
        <f>VLOOKUP($A:$A,housing_data_power_query!$A:$F,4,FALSE)</f>
        <v>28679</v>
      </c>
      <c r="K38" s="1">
        <f>VLOOKUP($A:$A,housing_data_power_query!$A:$F,5,FALSE)</f>
        <v>28746</v>
      </c>
      <c r="L38" s="1">
        <f>VLOOKUP($A:$A,housing_data_power_query!$A:$F,6,FALSE)</f>
        <v>28803</v>
      </c>
      <c r="M38" s="36">
        <f>(L38-H38)/H38</f>
        <v>1.0383414599922825E-2</v>
      </c>
    </row>
    <row r="39" spans="1:13" x14ac:dyDescent="0.2">
      <c r="A39" s="3" t="s">
        <v>37</v>
      </c>
      <c r="B39" s="4">
        <v>160223</v>
      </c>
      <c r="C39" s="4">
        <v>160181</v>
      </c>
      <c r="D39" s="4">
        <v>159828</v>
      </c>
      <c r="E39" s="4">
        <v>159835</v>
      </c>
      <c r="F39" s="4">
        <v>160233</v>
      </c>
      <c r="G39" s="33">
        <f>(F39-B39)/B39</f>
        <v>6.2413011864713558E-5</v>
      </c>
      <c r="H39" s="1">
        <f>VLOOKUP($A:$A,housing_data_power_query!$A:$F,2,FALSE)</f>
        <v>69096</v>
      </c>
      <c r="I39" s="1">
        <f>VLOOKUP($A:$A,housing_data_power_query!$A:$F,3,FALSE)</f>
        <v>69205</v>
      </c>
      <c r="J39" s="1">
        <f>VLOOKUP($A:$A,housing_data_power_query!$A:$F,4,FALSE)</f>
        <v>69337</v>
      </c>
      <c r="K39" s="1">
        <f>VLOOKUP($A:$A,housing_data_power_query!$A:$F,5,FALSE)</f>
        <v>69433</v>
      </c>
      <c r="L39" s="1">
        <f>VLOOKUP($A:$A,housing_data_power_query!$A:$F,6,FALSE)</f>
        <v>69519</v>
      </c>
      <c r="M39" s="36">
        <f>(L39-H39)/H39</f>
        <v>6.1219173324070855E-3</v>
      </c>
    </row>
    <row r="40" spans="1:13" x14ac:dyDescent="0.2">
      <c r="A40" s="3" t="s">
        <v>38</v>
      </c>
      <c r="B40" s="4">
        <v>261814</v>
      </c>
      <c r="C40" s="4">
        <v>260566</v>
      </c>
      <c r="D40" s="4">
        <v>261417</v>
      </c>
      <c r="E40" s="4">
        <v>263297</v>
      </c>
      <c r="F40" s="4">
        <v>264780</v>
      </c>
      <c r="G40" s="33">
        <f>(F40-B40)/B40</f>
        <v>1.1328653165988068E-2</v>
      </c>
      <c r="H40" s="1">
        <f>VLOOKUP($A:$A,housing_data_power_query!$A:$F,2,FALSE)</f>
        <v>114143</v>
      </c>
      <c r="I40" s="1">
        <f>VLOOKUP($A:$A,housing_data_power_query!$A:$F,3,FALSE)</f>
        <v>114528</v>
      </c>
      <c r="J40" s="1">
        <f>VLOOKUP($A:$A,housing_data_power_query!$A:$F,4,FALSE)</f>
        <v>114842</v>
      </c>
      <c r="K40" s="1">
        <f>VLOOKUP($A:$A,housing_data_power_query!$A:$F,5,FALSE)</f>
        <v>115192</v>
      </c>
      <c r="L40" s="1">
        <f>VLOOKUP($A:$A,housing_data_power_query!$A:$F,6,FALSE)</f>
        <v>115779</v>
      </c>
      <c r="M40" s="36">
        <f>(L40-H40)/H40</f>
        <v>1.4332898206635537E-2</v>
      </c>
    </row>
    <row r="41" spans="1:13" x14ac:dyDescent="0.2">
      <c r="A41" s="3" t="s">
        <v>39</v>
      </c>
      <c r="B41" s="4">
        <v>17929</v>
      </c>
      <c r="C41" s="4">
        <v>17994</v>
      </c>
      <c r="D41" s="4">
        <v>18230</v>
      </c>
      <c r="E41" s="4">
        <v>18422</v>
      </c>
      <c r="F41" s="4">
        <v>18618</v>
      </c>
      <c r="G41" s="33">
        <f>(F41-B41)/B41</f>
        <v>3.8429360254336548E-2</v>
      </c>
      <c r="H41" s="1">
        <f>VLOOKUP($A:$A,housing_data_power_query!$A:$F,2,FALSE)</f>
        <v>11578</v>
      </c>
      <c r="I41" s="1">
        <f>VLOOKUP($A:$A,housing_data_power_query!$A:$F,3,FALSE)</f>
        <v>11627</v>
      </c>
      <c r="J41" s="1">
        <f>VLOOKUP($A:$A,housing_data_power_query!$A:$F,4,FALSE)</f>
        <v>11682</v>
      </c>
      <c r="K41" s="1">
        <f>VLOOKUP($A:$A,housing_data_power_query!$A:$F,5,FALSE)</f>
        <v>11735</v>
      </c>
      <c r="L41" s="1">
        <f>VLOOKUP($A:$A,housing_data_power_query!$A:$F,6,FALSE)</f>
        <v>11776</v>
      </c>
      <c r="M41" s="36">
        <f>(L41-H41)/H41</f>
        <v>1.7101399205389532E-2</v>
      </c>
    </row>
    <row r="42" spans="1:13" x14ac:dyDescent="0.2">
      <c r="A42" s="3" t="s">
        <v>40</v>
      </c>
      <c r="B42" s="4">
        <v>658524</v>
      </c>
      <c r="C42" s="4">
        <v>658979</v>
      </c>
      <c r="D42" s="4">
        <v>660134</v>
      </c>
      <c r="E42" s="4">
        <v>665109</v>
      </c>
      <c r="F42" s="4">
        <v>673002</v>
      </c>
      <c r="G42" s="33">
        <f>(F42-B42)/B42</f>
        <v>2.1985531279042222E-2</v>
      </c>
      <c r="H42" s="1">
        <f>VLOOKUP($A:$A,housing_data_power_query!$A:$F,2,FALSE)</f>
        <v>265551</v>
      </c>
      <c r="I42" s="1">
        <f>VLOOKUP($A:$A,housing_data_power_query!$A:$F,3,FALSE)</f>
        <v>266995</v>
      </c>
      <c r="J42" s="1">
        <f>VLOOKUP($A:$A,housing_data_power_query!$A:$F,4,FALSE)</f>
        <v>268921</v>
      </c>
      <c r="K42" s="1">
        <f>VLOOKUP($A:$A,housing_data_power_query!$A:$F,5,FALSE)</f>
        <v>271327</v>
      </c>
      <c r="L42" s="1">
        <f>VLOOKUP($A:$A,housing_data_power_query!$A:$F,6,FALSE)</f>
        <v>273026</v>
      </c>
      <c r="M42" s="36">
        <f>(L42-H42)/H42</f>
        <v>2.8149018455965145E-2</v>
      </c>
    </row>
    <row r="43" spans="1:13" x14ac:dyDescent="0.2">
      <c r="A43" s="3" t="s">
        <v>41</v>
      </c>
      <c r="B43" s="4">
        <v>2059</v>
      </c>
      <c r="C43" s="4">
        <v>2108</v>
      </c>
      <c r="D43" s="4">
        <v>2151</v>
      </c>
      <c r="E43" s="4">
        <v>2181</v>
      </c>
      <c r="F43" s="4">
        <v>2161</v>
      </c>
      <c r="G43" s="33">
        <f>(F43-B43)/B43</f>
        <v>4.953861097620204E-2</v>
      </c>
      <c r="H43" s="1">
        <f>VLOOKUP($A:$A,housing_data_power_query!$A:$F,2,FALSE)</f>
        <v>2272</v>
      </c>
      <c r="I43" s="1">
        <f>VLOOKUP($A:$A,housing_data_power_query!$A:$F,3,FALSE)</f>
        <v>2286</v>
      </c>
      <c r="J43" s="1">
        <f>VLOOKUP($A:$A,housing_data_power_query!$A:$F,4,FALSE)</f>
        <v>2302</v>
      </c>
      <c r="K43" s="1">
        <f>VLOOKUP($A:$A,housing_data_power_query!$A:$F,5,FALSE)</f>
        <v>2320</v>
      </c>
      <c r="L43" s="1">
        <f>VLOOKUP($A:$A,housing_data_power_query!$A:$F,6,FALSE)</f>
        <v>2338</v>
      </c>
      <c r="M43" s="36">
        <f>(L43-H43)/H43</f>
        <v>2.9049295774647887E-2</v>
      </c>
    </row>
    <row r="44" spans="1:13" x14ac:dyDescent="0.2">
      <c r="A44" s="3" t="s">
        <v>42</v>
      </c>
      <c r="B44" s="4">
        <v>12098</v>
      </c>
      <c r="C44" s="4">
        <v>12281</v>
      </c>
      <c r="D44" s="4">
        <v>12665</v>
      </c>
      <c r="E44" s="4">
        <v>12766</v>
      </c>
      <c r="F44" s="4">
        <v>13005</v>
      </c>
      <c r="G44" s="33">
        <f>(F44-B44)/B44</f>
        <v>7.4971069598280704E-2</v>
      </c>
      <c r="H44" s="1">
        <f>VLOOKUP($A:$A,housing_data_power_query!$A:$F,2,FALSE)</f>
        <v>13323</v>
      </c>
      <c r="I44" s="1">
        <f>VLOOKUP($A:$A,housing_data_power_query!$A:$F,3,FALSE)</f>
        <v>13376</v>
      </c>
      <c r="J44" s="1">
        <f>VLOOKUP($A:$A,housing_data_power_query!$A:$F,4,FALSE)</f>
        <v>13440</v>
      </c>
      <c r="K44" s="1">
        <f>VLOOKUP($A:$A,housing_data_power_query!$A:$F,5,FALSE)</f>
        <v>13510</v>
      </c>
      <c r="L44" s="1">
        <f>VLOOKUP($A:$A,housing_data_power_query!$A:$F,6,FALSE)</f>
        <v>13558</v>
      </c>
      <c r="M44" s="36">
        <f>(L44-H44)/H44</f>
        <v>1.763866996922615E-2</v>
      </c>
    </row>
    <row r="45" spans="1:13" x14ac:dyDescent="0.2">
      <c r="A45" s="3" t="s">
        <v>43</v>
      </c>
      <c r="B45" s="4">
        <v>88587</v>
      </c>
      <c r="C45" s="4">
        <v>88667</v>
      </c>
      <c r="D45" s="4">
        <v>88701</v>
      </c>
      <c r="E45" s="4">
        <v>89060</v>
      </c>
      <c r="F45" s="4">
        <v>89168</v>
      </c>
      <c r="G45" s="33">
        <f>(F45-B45)/B45</f>
        <v>6.5585243884542883E-3</v>
      </c>
      <c r="H45" s="1">
        <f>VLOOKUP($A:$A,housing_data_power_query!$A:$F,2,FALSE)</f>
        <v>36757</v>
      </c>
      <c r="I45" s="1">
        <f>VLOOKUP($A:$A,housing_data_power_query!$A:$F,3,FALSE)</f>
        <v>36943</v>
      </c>
      <c r="J45" s="1">
        <f>VLOOKUP($A:$A,housing_data_power_query!$A:$F,4,FALSE)</f>
        <v>37182</v>
      </c>
      <c r="K45" s="1">
        <f>VLOOKUP($A:$A,housing_data_power_query!$A:$F,5,FALSE)</f>
        <v>37373</v>
      </c>
      <c r="L45" s="1">
        <f>VLOOKUP($A:$A,housing_data_power_query!$A:$F,6,FALSE)</f>
        <v>37496</v>
      </c>
      <c r="M45" s="36">
        <f>(L45-H45)/H45</f>
        <v>2.0105014010936693E-2</v>
      </c>
    </row>
    <row r="46" spans="1:13" x14ac:dyDescent="0.2">
      <c r="A46" s="3" t="s">
        <v>44</v>
      </c>
      <c r="B46" s="4">
        <v>22308</v>
      </c>
      <c r="C46" s="4">
        <v>22630</v>
      </c>
      <c r="D46" s="4">
        <v>22891</v>
      </c>
      <c r="E46" s="4">
        <v>22970</v>
      </c>
      <c r="F46" s="4">
        <v>22871</v>
      </c>
      <c r="G46" s="33">
        <f>(F46-B46)/B46</f>
        <v>2.5237582929890621E-2</v>
      </c>
      <c r="H46" s="1">
        <f>VLOOKUP($A:$A,housing_data_power_query!$A:$F,2,FALSE)</f>
        <v>15457</v>
      </c>
      <c r="I46" s="1">
        <f>VLOOKUP($A:$A,housing_data_power_query!$A:$F,3,FALSE)</f>
        <v>15564</v>
      </c>
      <c r="J46" s="1">
        <f>VLOOKUP($A:$A,housing_data_power_query!$A:$F,4,FALSE)</f>
        <v>15736</v>
      </c>
      <c r="K46" s="1">
        <f>VLOOKUP($A:$A,housing_data_power_query!$A:$F,5,FALSE)</f>
        <v>15903</v>
      </c>
      <c r="L46" s="1">
        <f>VLOOKUP($A:$A,housing_data_power_query!$A:$F,6,FALSE)</f>
        <v>16097</v>
      </c>
      <c r="M46" s="36">
        <f>(L46-H46)/H46</f>
        <v>4.1405188587694895E-2</v>
      </c>
    </row>
    <row r="47" spans="1:13" x14ac:dyDescent="0.2">
      <c r="A47" s="3" t="s">
        <v>45</v>
      </c>
      <c r="B47" s="4">
        <v>99318</v>
      </c>
      <c r="C47" s="4">
        <v>99105</v>
      </c>
      <c r="D47" s="4">
        <v>98284</v>
      </c>
      <c r="E47" s="4">
        <v>97621</v>
      </c>
      <c r="F47" s="4">
        <v>97746</v>
      </c>
      <c r="G47" s="33">
        <f>(F47-B47)/B47</f>
        <v>-1.5827946595783241E-2</v>
      </c>
      <c r="H47" s="1">
        <f>VLOOKUP($A:$A,housing_data_power_query!$A:$F,2,FALSE)</f>
        <v>43589</v>
      </c>
      <c r="I47" s="1">
        <f>VLOOKUP($A:$A,housing_data_power_query!$A:$F,3,FALSE)</f>
        <v>43699</v>
      </c>
      <c r="J47" s="1">
        <f>VLOOKUP($A:$A,housing_data_power_query!$A:$F,4,FALSE)</f>
        <v>43828</v>
      </c>
      <c r="K47" s="1">
        <f>VLOOKUP($A:$A,housing_data_power_query!$A:$F,5,FALSE)</f>
        <v>43924</v>
      </c>
      <c r="L47" s="1">
        <f>VLOOKUP($A:$A,housing_data_power_query!$A:$F,6,FALSE)</f>
        <v>44010</v>
      </c>
      <c r="M47" s="36">
        <f>(L47-H47)/H47</f>
        <v>9.6584000550597633E-3</v>
      </c>
    </row>
    <row r="48" spans="1:13" x14ac:dyDescent="0.2">
      <c r="A48" s="3" t="s">
        <v>46</v>
      </c>
      <c r="B48" s="4">
        <v>193989</v>
      </c>
      <c r="C48" s="4">
        <v>195344</v>
      </c>
      <c r="D48" s="4">
        <v>196083</v>
      </c>
      <c r="E48" s="4">
        <v>196772</v>
      </c>
      <c r="F48" s="4">
        <v>196976</v>
      </c>
      <c r="G48" s="33">
        <f>(F48-B48)/B48</f>
        <v>1.5397780286511091E-2</v>
      </c>
      <c r="H48" s="1">
        <f>VLOOKUP($A:$A,housing_data_power_query!$A:$F,2,FALSE)</f>
        <v>78658</v>
      </c>
      <c r="I48" s="1">
        <f>VLOOKUP($A:$A,housing_data_power_query!$A:$F,3,FALSE)</f>
        <v>79306</v>
      </c>
      <c r="J48" s="1">
        <f>VLOOKUP($A:$A,housing_data_power_query!$A:$F,4,FALSE)</f>
        <v>80151</v>
      </c>
      <c r="K48" s="1">
        <f>VLOOKUP($A:$A,housing_data_power_query!$A:$F,5,FALSE)</f>
        <v>81297</v>
      </c>
      <c r="L48" s="1">
        <f>VLOOKUP($A:$A,housing_data_power_query!$A:$F,6,FALSE)</f>
        <v>82241</v>
      </c>
      <c r="M48" s="36">
        <f>(L48-H48)/H48</f>
        <v>4.5551628569249152E-2</v>
      </c>
    </row>
    <row r="49" spans="1:13" x14ac:dyDescent="0.2">
      <c r="A49" s="3" t="s">
        <v>47</v>
      </c>
      <c r="B49" s="4">
        <v>6410</v>
      </c>
      <c r="C49" s="4">
        <v>5976</v>
      </c>
      <c r="D49" s="4">
        <v>6254</v>
      </c>
      <c r="E49" s="4">
        <v>6389</v>
      </c>
      <c r="F49" s="4">
        <v>6328</v>
      </c>
      <c r="G49" s="33">
        <f>(F49-B49)/B49</f>
        <v>-1.2792511700468018E-2</v>
      </c>
      <c r="H49" s="1">
        <f>VLOOKUP($A:$A,housing_data_power_query!$A:$F,2,FALSE)</f>
        <v>4066</v>
      </c>
      <c r="I49" s="1">
        <f>VLOOKUP($A:$A,housing_data_power_query!$A:$F,3,FALSE)</f>
        <v>4069</v>
      </c>
      <c r="J49" s="1">
        <f>VLOOKUP($A:$A,housing_data_power_query!$A:$F,4,FALSE)</f>
        <v>4073</v>
      </c>
      <c r="K49" s="1">
        <f>VLOOKUP($A:$A,housing_data_power_query!$A:$F,5,FALSE)</f>
        <v>4080</v>
      </c>
      <c r="L49" s="1">
        <f>VLOOKUP($A:$A,housing_data_power_query!$A:$F,6,FALSE)</f>
        <v>4087</v>
      </c>
      <c r="M49" s="36">
        <f>(L49-H49)/H49</f>
        <v>5.1647811116576486E-3</v>
      </c>
    </row>
    <row r="50" spans="1:13" x14ac:dyDescent="0.2">
      <c r="A50" s="3" t="s">
        <v>48</v>
      </c>
      <c r="B50" s="4">
        <v>10811</v>
      </c>
      <c r="C50" s="4">
        <v>10906</v>
      </c>
      <c r="D50" s="4">
        <v>10983</v>
      </c>
      <c r="E50" s="4">
        <v>10942</v>
      </c>
      <c r="F50" s="4">
        <v>11144</v>
      </c>
      <c r="G50" s="33">
        <f>(F50-B50)/B50</f>
        <v>3.0801960965683099E-2</v>
      </c>
      <c r="H50" s="1">
        <f>VLOOKUP($A:$A,housing_data_power_query!$A:$F,2,FALSE)</f>
        <v>10528</v>
      </c>
      <c r="I50" s="1">
        <f>VLOOKUP($A:$A,housing_data_power_query!$A:$F,3,FALSE)</f>
        <v>10556</v>
      </c>
      <c r="J50" s="1">
        <f>VLOOKUP($A:$A,housing_data_power_query!$A:$F,4,FALSE)</f>
        <v>10607</v>
      </c>
      <c r="K50" s="1">
        <f>VLOOKUP($A:$A,housing_data_power_query!$A:$F,5,FALSE)</f>
        <v>10651</v>
      </c>
      <c r="L50" s="1">
        <f>VLOOKUP($A:$A,housing_data_power_query!$A:$F,6,FALSE)</f>
        <v>10691</v>
      </c>
      <c r="M50" s="36">
        <f>(L50-H50)/H50</f>
        <v>1.5482522796352583E-2</v>
      </c>
    </row>
    <row r="51" spans="1:13" x14ac:dyDescent="0.2">
      <c r="A51" s="3" t="s">
        <v>49</v>
      </c>
      <c r="B51" s="4">
        <v>880294</v>
      </c>
      <c r="C51" s="4">
        <v>877789</v>
      </c>
      <c r="D51" s="4">
        <v>875735</v>
      </c>
      <c r="E51" s="4">
        <v>879271</v>
      </c>
      <c r="F51" s="4">
        <v>886175</v>
      </c>
      <c r="G51" s="33">
        <f>(F51-B51)/B51</f>
        <v>6.6807225767754868E-3</v>
      </c>
      <c r="H51" s="1">
        <f>VLOOKUP($A:$A,housing_data_power_query!$A:$F,2,FALSE)</f>
        <v>369753</v>
      </c>
      <c r="I51" s="1">
        <f>VLOOKUP($A:$A,housing_data_power_query!$A:$F,3,FALSE)</f>
        <v>371729</v>
      </c>
      <c r="J51" s="1">
        <f>VLOOKUP($A:$A,housing_data_power_query!$A:$F,4,FALSE)</f>
        <v>373561</v>
      </c>
      <c r="K51" s="1">
        <f>VLOOKUP($A:$A,housing_data_power_query!$A:$F,5,FALSE)</f>
        <v>375315</v>
      </c>
      <c r="L51" s="1">
        <f>VLOOKUP($A:$A,housing_data_power_query!$A:$F,6,FALSE)</f>
        <v>376730</v>
      </c>
      <c r="M51" s="36">
        <f>(L51-H51)/H51</f>
        <v>1.8869353325057538E-2</v>
      </c>
    </row>
    <row r="52" spans="1:13" x14ac:dyDescent="0.2">
      <c r="A52" s="3" t="s">
        <v>50</v>
      </c>
      <c r="B52" s="4">
        <v>25070</v>
      </c>
      <c r="C52" s="4">
        <v>25340</v>
      </c>
      <c r="D52" s="4">
        <v>25334</v>
      </c>
      <c r="E52" s="4">
        <v>25485</v>
      </c>
      <c r="F52" s="4">
        <v>25519</v>
      </c>
      <c r="G52" s="33">
        <f>(F52-B52)/B52</f>
        <v>1.7909852413242919E-2</v>
      </c>
      <c r="H52" s="1">
        <f>VLOOKUP($A:$A,housing_data_power_query!$A:$F,2,FALSE)</f>
        <v>15477</v>
      </c>
      <c r="I52" s="1">
        <f>VLOOKUP($A:$A,housing_data_power_query!$A:$F,3,FALSE)</f>
        <v>15590</v>
      </c>
      <c r="J52" s="1">
        <f>VLOOKUP($A:$A,housing_data_power_query!$A:$F,4,FALSE)</f>
        <v>15718</v>
      </c>
      <c r="K52" s="1">
        <f>VLOOKUP($A:$A,housing_data_power_query!$A:$F,5,FALSE)</f>
        <v>15836</v>
      </c>
      <c r="L52" s="1">
        <f>VLOOKUP($A:$A,housing_data_power_query!$A:$F,6,FALSE)</f>
        <v>15949</v>
      </c>
      <c r="M52" s="36">
        <f>(L52-H52)/H52</f>
        <v>3.0496866317761839E-2</v>
      </c>
    </row>
    <row r="53" spans="1:13" x14ac:dyDescent="0.2">
      <c r="A53" s="3" t="s">
        <v>51</v>
      </c>
      <c r="B53" s="4">
        <v>66544</v>
      </c>
      <c r="C53" s="4">
        <v>66278</v>
      </c>
      <c r="D53" s="4">
        <v>67103</v>
      </c>
      <c r="E53" s="4">
        <v>67654</v>
      </c>
      <c r="F53" s="4">
        <v>67979</v>
      </c>
      <c r="G53" s="33">
        <f>(F53-B53)/B53</f>
        <v>2.1564679009377256E-2</v>
      </c>
      <c r="H53" s="1">
        <f>VLOOKUP($A:$A,housing_data_power_query!$A:$F,2,FALSE)</f>
        <v>33461</v>
      </c>
      <c r="I53" s="1">
        <f>VLOOKUP($A:$A,housing_data_power_query!$A:$F,3,FALSE)</f>
        <v>33515</v>
      </c>
      <c r="J53" s="1">
        <f>VLOOKUP($A:$A,housing_data_power_query!$A:$F,4,FALSE)</f>
        <v>33598</v>
      </c>
      <c r="K53" s="1">
        <f>VLOOKUP($A:$A,housing_data_power_query!$A:$F,5,FALSE)</f>
        <v>33664</v>
      </c>
      <c r="L53" s="1">
        <f>VLOOKUP($A:$A,housing_data_power_query!$A:$F,6,FALSE)</f>
        <v>33719</v>
      </c>
      <c r="M53" s="36">
        <f>(L53-H53)/H53</f>
        <v>7.7104689040973073E-3</v>
      </c>
    </row>
    <row r="54" spans="1:13" x14ac:dyDescent="0.2">
      <c r="A54" s="3" t="s">
        <v>52</v>
      </c>
      <c r="B54" s="4">
        <v>29037</v>
      </c>
      <c r="C54" s="4">
        <v>29350</v>
      </c>
      <c r="D54" s="4">
        <v>29357</v>
      </c>
      <c r="E54" s="4">
        <v>29199</v>
      </c>
      <c r="F54" s="4">
        <v>29093</v>
      </c>
      <c r="G54" s="33">
        <f>(F54-B54)/B54</f>
        <v>1.9285738884871027E-3</v>
      </c>
      <c r="H54" s="1">
        <f>VLOOKUP($A:$A,housing_data_power_query!$A:$F,2,FALSE)</f>
        <v>17406</v>
      </c>
      <c r="I54" s="1">
        <f>VLOOKUP($A:$A,housing_data_power_query!$A:$F,3,FALSE)</f>
        <v>17494</v>
      </c>
      <c r="J54" s="1">
        <f>VLOOKUP($A:$A,housing_data_power_query!$A:$F,4,FALSE)</f>
        <v>17598</v>
      </c>
      <c r="K54" s="1">
        <f>VLOOKUP($A:$A,housing_data_power_query!$A:$F,5,FALSE)</f>
        <v>17669</v>
      </c>
      <c r="L54" s="1">
        <f>VLOOKUP($A:$A,housing_data_power_query!$A:$F,6,FALSE)</f>
        <v>17742</v>
      </c>
      <c r="M54" s="36">
        <f>(L54-H54)/H54</f>
        <v>1.9303688383316097E-2</v>
      </c>
    </row>
    <row r="55" spans="1:13" x14ac:dyDescent="0.2">
      <c r="A55" s="3" t="s">
        <v>53</v>
      </c>
      <c r="B55" s="4">
        <v>40426</v>
      </c>
      <c r="C55" s="4">
        <v>40692</v>
      </c>
      <c r="D55" s="4">
        <v>41424</v>
      </c>
      <c r="E55" s="4">
        <v>41722</v>
      </c>
      <c r="F55" s="4">
        <v>41947</v>
      </c>
      <c r="G55" s="33">
        <f>(F55-B55)/B55</f>
        <v>3.7624301192301986E-2</v>
      </c>
      <c r="H55" s="1">
        <f>VLOOKUP($A:$A,housing_data_power_query!$A:$F,2,FALSE)</f>
        <v>20900</v>
      </c>
      <c r="I55" s="1">
        <f>VLOOKUP($A:$A,housing_data_power_query!$A:$F,3,FALSE)</f>
        <v>21006</v>
      </c>
      <c r="J55" s="1">
        <f>VLOOKUP($A:$A,housing_data_power_query!$A:$F,4,FALSE)</f>
        <v>21116</v>
      </c>
      <c r="K55" s="1">
        <f>VLOOKUP($A:$A,housing_data_power_query!$A:$F,5,FALSE)</f>
        <v>21273</v>
      </c>
      <c r="L55" s="1">
        <f>VLOOKUP($A:$A,housing_data_power_query!$A:$F,6,FALSE)</f>
        <v>21402</v>
      </c>
      <c r="M55" s="36">
        <f>(L55-H55)/H55</f>
        <v>2.401913875598086E-2</v>
      </c>
    </row>
    <row r="56" spans="1:13" x14ac:dyDescent="0.2">
      <c r="A56" s="3" t="s">
        <v>54</v>
      </c>
      <c r="B56" s="4">
        <v>23450</v>
      </c>
      <c r="C56" s="4">
        <v>23325</v>
      </c>
      <c r="D56" s="4">
        <v>23289</v>
      </c>
      <c r="E56" s="4">
        <v>23123</v>
      </c>
      <c r="F56" s="4">
        <v>23050</v>
      </c>
      <c r="G56" s="33">
        <f>(F56-B56)/B56</f>
        <v>-1.7057569296375266E-2</v>
      </c>
      <c r="H56" s="1">
        <f>VLOOKUP($A:$A,housing_data_power_query!$A:$F,2,FALSE)</f>
        <v>13215</v>
      </c>
      <c r="I56" s="1">
        <f>VLOOKUP($A:$A,housing_data_power_query!$A:$F,3,FALSE)</f>
        <v>13235</v>
      </c>
      <c r="J56" s="1">
        <f>VLOOKUP($A:$A,housing_data_power_query!$A:$F,4,FALSE)</f>
        <v>13258</v>
      </c>
      <c r="K56" s="1">
        <f>VLOOKUP($A:$A,housing_data_power_query!$A:$F,5,FALSE)</f>
        <v>13279</v>
      </c>
      <c r="L56" s="1">
        <f>VLOOKUP($A:$A,housing_data_power_query!$A:$F,6,FALSE)</f>
        <v>13291</v>
      </c>
      <c r="M56" s="36">
        <f>(L56-H56)/H56</f>
        <v>5.7510404842981457E-3</v>
      </c>
    </row>
    <row r="57" spans="1:13" x14ac:dyDescent="0.2">
      <c r="A57" s="3" t="s">
        <v>55</v>
      </c>
      <c r="B57" s="4">
        <v>83493</v>
      </c>
      <c r="C57" s="4">
        <v>83504</v>
      </c>
      <c r="D57" s="4">
        <v>83761</v>
      </c>
      <c r="E57" s="4">
        <v>84007</v>
      </c>
      <c r="F57" s="4">
        <v>84022</v>
      </c>
      <c r="G57" s="33">
        <f>(F57-B57)/B57</f>
        <v>6.3358604912986715E-3</v>
      </c>
      <c r="H57" s="1">
        <f>VLOOKUP($A:$A,housing_data_power_query!$A:$F,2,FALSE)</f>
        <v>36888</v>
      </c>
      <c r="I57" s="1">
        <f>VLOOKUP($A:$A,housing_data_power_query!$A:$F,3,FALSE)</f>
        <v>36976</v>
      </c>
      <c r="J57" s="1">
        <f>VLOOKUP($A:$A,housing_data_power_query!$A:$F,4,FALSE)</f>
        <v>37128</v>
      </c>
      <c r="K57" s="1">
        <f>VLOOKUP($A:$A,housing_data_power_query!$A:$F,5,FALSE)</f>
        <v>37250</v>
      </c>
      <c r="L57" s="1">
        <f>VLOOKUP($A:$A,housing_data_power_query!$A:$F,6,FALSE)</f>
        <v>37383</v>
      </c>
      <c r="M57" s="36">
        <f>(L57-H57)/H57</f>
        <v>1.3418998048145739E-2</v>
      </c>
    </row>
    <row r="58" spans="1:13" x14ac:dyDescent="0.2">
      <c r="A58" s="3" t="s">
        <v>56</v>
      </c>
      <c r="B58" s="4">
        <v>15067</v>
      </c>
      <c r="C58" s="4">
        <v>15176</v>
      </c>
      <c r="D58" s="4">
        <v>15228</v>
      </c>
      <c r="E58" s="4">
        <v>15325</v>
      </c>
      <c r="F58" s="4">
        <v>15239</v>
      </c>
      <c r="G58" s="33">
        <f>(F58-B58)/B58</f>
        <v>1.1415676644322028E-2</v>
      </c>
      <c r="H58" s="1">
        <f>VLOOKUP($A:$A,housing_data_power_query!$A:$F,2,FALSE)</f>
        <v>8624</v>
      </c>
      <c r="I58" s="1">
        <f>VLOOKUP($A:$A,housing_data_power_query!$A:$F,3,FALSE)</f>
        <v>8655</v>
      </c>
      <c r="J58" s="1">
        <f>VLOOKUP($A:$A,housing_data_power_query!$A:$F,4,FALSE)</f>
        <v>8692</v>
      </c>
      <c r="K58" s="1">
        <f>VLOOKUP($A:$A,housing_data_power_query!$A:$F,5,FALSE)</f>
        <v>8727</v>
      </c>
      <c r="L58" s="1">
        <f>VLOOKUP($A:$A,housing_data_power_query!$A:$F,6,FALSE)</f>
        <v>8764</v>
      </c>
      <c r="M58" s="36">
        <f>(L58-H58)/H58</f>
        <v>1.6233766233766232E-2</v>
      </c>
    </row>
    <row r="59" spans="1:13" x14ac:dyDescent="0.2">
      <c r="A59" s="3" t="s">
        <v>57</v>
      </c>
      <c r="B59" s="4">
        <v>154909</v>
      </c>
      <c r="C59" s="4">
        <v>155569</v>
      </c>
      <c r="D59" s="4">
        <v>155412</v>
      </c>
      <c r="E59" s="4">
        <v>155590</v>
      </c>
      <c r="F59" s="4">
        <v>156045</v>
      </c>
      <c r="G59" s="33">
        <f>(F59-B59)/B59</f>
        <v>7.3333376369352325E-3</v>
      </c>
      <c r="H59" s="1">
        <f>VLOOKUP($A:$A,housing_data_power_query!$A:$F,2,FALSE)</f>
        <v>65903</v>
      </c>
      <c r="I59" s="1">
        <f>VLOOKUP($A:$A,housing_data_power_query!$A:$F,3,FALSE)</f>
        <v>66188</v>
      </c>
      <c r="J59" s="1">
        <f>VLOOKUP($A:$A,housing_data_power_query!$A:$F,4,FALSE)</f>
        <v>66671</v>
      </c>
      <c r="K59" s="1">
        <f>VLOOKUP($A:$A,housing_data_power_query!$A:$F,5,FALSE)</f>
        <v>66919</v>
      </c>
      <c r="L59" s="1">
        <f>VLOOKUP($A:$A,housing_data_power_query!$A:$F,6,FALSE)</f>
        <v>67219</v>
      </c>
      <c r="M59" s="36">
        <f>(L59-H59)/H59</f>
        <v>1.9968741938910215E-2</v>
      </c>
    </row>
    <row r="60" spans="1:13" x14ac:dyDescent="0.2">
      <c r="A60" s="3" t="s">
        <v>58</v>
      </c>
      <c r="B60" s="4">
        <v>66659</v>
      </c>
      <c r="C60" s="4">
        <v>67361</v>
      </c>
      <c r="D60" s="4">
        <v>67317</v>
      </c>
      <c r="E60" s="4">
        <v>68431</v>
      </c>
      <c r="F60" s="4">
        <v>69314</v>
      </c>
      <c r="G60" s="33">
        <f>(F60-B60)/B60</f>
        <v>3.9829580401746202E-2</v>
      </c>
      <c r="H60" s="1">
        <f>VLOOKUP($A:$A,housing_data_power_query!$A:$F,2,FALSE)</f>
        <v>27906</v>
      </c>
      <c r="I60" s="1">
        <f>VLOOKUP($A:$A,housing_data_power_query!$A:$F,3,FALSE)</f>
        <v>27952</v>
      </c>
      <c r="J60" s="1">
        <f>VLOOKUP($A:$A,housing_data_power_query!$A:$F,4,FALSE)</f>
        <v>28119</v>
      </c>
      <c r="K60" s="1">
        <f>VLOOKUP($A:$A,housing_data_power_query!$A:$F,5,FALSE)</f>
        <v>28291</v>
      </c>
      <c r="L60" s="1">
        <f>VLOOKUP($A:$A,housing_data_power_query!$A:$F,6,FALSE)</f>
        <v>28467</v>
      </c>
      <c r="M60" s="36">
        <f>(L60-H60)/H60</f>
        <v>2.0103203612126426E-2</v>
      </c>
    </row>
    <row r="61" spans="1:13" x14ac:dyDescent="0.2">
      <c r="A61" s="3" t="s">
        <v>59</v>
      </c>
      <c r="B61" s="4">
        <v>9170</v>
      </c>
      <c r="C61" s="4">
        <v>9304</v>
      </c>
      <c r="D61" s="4">
        <v>9563</v>
      </c>
      <c r="E61" s="4">
        <v>9714</v>
      </c>
      <c r="F61" s="4">
        <v>9828</v>
      </c>
      <c r="G61" s="33">
        <f>(F61-B61)/B61</f>
        <v>7.1755725190839698E-2</v>
      </c>
      <c r="H61" s="1">
        <f>VLOOKUP($A:$A,housing_data_power_query!$A:$F,2,FALSE)</f>
        <v>8929</v>
      </c>
      <c r="I61" s="1">
        <f>VLOOKUP($A:$A,housing_data_power_query!$A:$F,3,FALSE)</f>
        <v>8928</v>
      </c>
      <c r="J61" s="1">
        <f>VLOOKUP($A:$A,housing_data_power_query!$A:$F,4,FALSE)</f>
        <v>8929</v>
      </c>
      <c r="K61" s="1">
        <f>VLOOKUP($A:$A,housing_data_power_query!$A:$F,5,FALSE)</f>
        <v>8929</v>
      </c>
      <c r="L61" s="1">
        <f>VLOOKUP($A:$A,housing_data_power_query!$A:$F,6,FALSE)</f>
        <v>8925</v>
      </c>
      <c r="M61" s="36">
        <f>(L61-H61)/H61</f>
        <v>-4.4797849703214247E-4</v>
      </c>
    </row>
    <row r="62" spans="1:13" x14ac:dyDescent="0.2">
      <c r="A62" s="3" t="s">
        <v>60</v>
      </c>
      <c r="B62" s="4">
        <v>174794</v>
      </c>
      <c r="C62" s="4">
        <v>175581</v>
      </c>
      <c r="D62" s="4">
        <v>175526</v>
      </c>
      <c r="E62" s="4">
        <v>176476</v>
      </c>
      <c r="F62" s="4">
        <v>177428</v>
      </c>
      <c r="G62" s="33">
        <f>(F62-B62)/B62</f>
        <v>1.5069167133883314E-2</v>
      </c>
      <c r="H62" s="1">
        <f>VLOOKUP($A:$A,housing_data_power_query!$A:$F,2,FALSE)</f>
        <v>74655</v>
      </c>
      <c r="I62" s="1">
        <f>VLOOKUP($A:$A,housing_data_power_query!$A:$F,3,FALSE)</f>
        <v>74884</v>
      </c>
      <c r="J62" s="1">
        <f>VLOOKUP($A:$A,housing_data_power_query!$A:$F,4,FALSE)</f>
        <v>75182</v>
      </c>
      <c r="K62" s="1">
        <f>VLOOKUP($A:$A,housing_data_power_query!$A:$F,5,FALSE)</f>
        <v>75693</v>
      </c>
      <c r="L62" s="1">
        <f>VLOOKUP($A:$A,housing_data_power_query!$A:$F,6,FALSE)</f>
        <v>75942</v>
      </c>
      <c r="M62" s="36">
        <f>(L62-H62)/H62</f>
        <v>1.723930078360458E-2</v>
      </c>
    </row>
    <row r="63" spans="1:13" x14ac:dyDescent="0.2">
      <c r="A63" s="3" t="s">
        <v>61</v>
      </c>
      <c r="B63" s="4">
        <v>50095</v>
      </c>
      <c r="C63" s="4">
        <v>50401</v>
      </c>
      <c r="D63" s="4">
        <v>50771</v>
      </c>
      <c r="E63" s="4">
        <v>51189</v>
      </c>
      <c r="F63" s="4">
        <v>51504</v>
      </c>
      <c r="G63" s="33">
        <f>(F63-B63)/B63</f>
        <v>2.8126559536879928E-2</v>
      </c>
      <c r="H63" s="1">
        <f>VLOOKUP($A:$A,housing_data_power_query!$A:$F,2,FALSE)</f>
        <v>24575</v>
      </c>
      <c r="I63" s="1">
        <f>VLOOKUP($A:$A,housing_data_power_query!$A:$F,3,FALSE)</f>
        <v>24722</v>
      </c>
      <c r="J63" s="1">
        <f>VLOOKUP($A:$A,housing_data_power_query!$A:$F,4,FALSE)</f>
        <v>24916</v>
      </c>
      <c r="K63" s="1">
        <f>VLOOKUP($A:$A,housing_data_power_query!$A:$F,5,FALSE)</f>
        <v>25105</v>
      </c>
      <c r="L63" s="1">
        <f>VLOOKUP($A:$A,housing_data_power_query!$A:$F,6,FALSE)</f>
        <v>25264</v>
      </c>
      <c r="M63" s="36">
        <f>(L63-H63)/H63</f>
        <v>2.8036622583926755E-2</v>
      </c>
    </row>
    <row r="64" spans="1:13" x14ac:dyDescent="0.2">
      <c r="A64" s="3" t="s">
        <v>62</v>
      </c>
      <c r="B64" s="4">
        <v>1272526</v>
      </c>
      <c r="C64" s="4">
        <v>1272776</v>
      </c>
      <c r="D64" s="4">
        <v>1275098</v>
      </c>
      <c r="E64" s="4">
        <v>1281836</v>
      </c>
      <c r="F64" s="4">
        <v>1296888</v>
      </c>
      <c r="G64" s="33">
        <f>(F64-B64)/B64</f>
        <v>1.9144599010157748E-2</v>
      </c>
      <c r="H64" s="1">
        <f>VLOOKUP($A:$A,housing_data_power_query!$A:$F,2,FALSE)</f>
        <v>555111</v>
      </c>
      <c r="I64" s="1">
        <f>VLOOKUP($A:$A,housing_data_power_query!$A:$F,3,FALSE)</f>
        <v>558186</v>
      </c>
      <c r="J64" s="1">
        <f>VLOOKUP($A:$A,housing_data_power_query!$A:$F,4,FALSE)</f>
        <v>561501</v>
      </c>
      <c r="K64" s="1">
        <f>VLOOKUP($A:$A,housing_data_power_query!$A:$F,5,FALSE)</f>
        <v>564636</v>
      </c>
      <c r="L64" s="1">
        <f>VLOOKUP($A:$A,housing_data_power_query!$A:$F,6,FALSE)</f>
        <v>567207</v>
      </c>
      <c r="M64" s="36">
        <f>(L64-H64)/H64</f>
        <v>2.1790236547285138E-2</v>
      </c>
    </row>
    <row r="65" spans="1:13" x14ac:dyDescent="0.2">
      <c r="A65" s="3" t="s">
        <v>63</v>
      </c>
      <c r="B65" s="4">
        <v>26716</v>
      </c>
      <c r="C65" s="4">
        <v>26873</v>
      </c>
      <c r="D65" s="4">
        <v>26964</v>
      </c>
      <c r="E65" s="4">
        <v>27010</v>
      </c>
      <c r="F65" s="4">
        <v>27014</v>
      </c>
      <c r="G65" s="33">
        <f>(F65-B65)/B65</f>
        <v>1.1154364425812247E-2</v>
      </c>
      <c r="H65" s="1">
        <f>VLOOKUP($A:$A,housing_data_power_query!$A:$F,2,FALSE)</f>
        <v>15544</v>
      </c>
      <c r="I65" s="1">
        <f>VLOOKUP($A:$A,housing_data_power_query!$A:$F,3,FALSE)</f>
        <v>15650</v>
      </c>
      <c r="J65" s="1">
        <f>VLOOKUP($A:$A,housing_data_power_query!$A:$F,4,FALSE)</f>
        <v>15695</v>
      </c>
      <c r="K65" s="1">
        <f>VLOOKUP($A:$A,housing_data_power_query!$A:$F,5,FALSE)</f>
        <v>15813</v>
      </c>
      <c r="L65" s="1">
        <f>VLOOKUP($A:$A,housing_data_power_query!$A:$F,6,FALSE)</f>
        <v>15961</v>
      </c>
      <c r="M65" s="36">
        <f>(L65-H65)/H65</f>
        <v>2.6827071538857435E-2</v>
      </c>
    </row>
    <row r="66" spans="1:13" x14ac:dyDescent="0.2">
      <c r="A66" s="3" t="s">
        <v>64</v>
      </c>
      <c r="B66" s="4">
        <v>20785</v>
      </c>
      <c r="C66" s="4">
        <v>20781</v>
      </c>
      <c r="D66" s="4">
        <v>20890</v>
      </c>
      <c r="E66" s="4">
        <v>20983</v>
      </c>
      <c r="F66" s="4">
        <v>20985</v>
      </c>
      <c r="G66" s="33">
        <f>(F66-B66)/B66</f>
        <v>9.6223237911955729E-3</v>
      </c>
      <c r="H66" s="1">
        <f>VLOOKUP($A:$A,housing_data_power_query!$A:$F,2,FALSE)</f>
        <v>15249</v>
      </c>
      <c r="I66" s="1">
        <f>VLOOKUP($A:$A,housing_data_power_query!$A:$F,3,FALSE)</f>
        <v>15268</v>
      </c>
      <c r="J66" s="1">
        <f>VLOOKUP($A:$A,housing_data_power_query!$A:$F,4,FALSE)</f>
        <v>15313</v>
      </c>
      <c r="K66" s="1">
        <f>VLOOKUP($A:$A,housing_data_power_query!$A:$F,5,FALSE)</f>
        <v>15354</v>
      </c>
      <c r="L66" s="1">
        <f>VLOOKUP($A:$A,housing_data_power_query!$A:$F,6,FALSE)</f>
        <v>15402</v>
      </c>
      <c r="M66" s="36">
        <f>(L66-H66)/H66</f>
        <v>1.0033444816053512E-2</v>
      </c>
    </row>
    <row r="67" spans="1:13" x14ac:dyDescent="0.2">
      <c r="A67" s="3" t="s">
        <v>65</v>
      </c>
      <c r="B67" s="4">
        <v>5803</v>
      </c>
      <c r="C67" s="4">
        <v>5872</v>
      </c>
      <c r="D67" s="4">
        <v>5895</v>
      </c>
      <c r="E67" s="4">
        <v>5857</v>
      </c>
      <c r="F67" s="4">
        <v>5824</v>
      </c>
      <c r="G67" s="33">
        <f>(F67-B67)/B67</f>
        <v>3.6188178528347406E-3</v>
      </c>
      <c r="H67" s="1">
        <f>VLOOKUP($A:$A,housing_data_power_query!$A:$F,2,FALSE)</f>
        <v>5247</v>
      </c>
      <c r="I67" s="1">
        <f>VLOOKUP($A:$A,housing_data_power_query!$A:$F,3,FALSE)</f>
        <v>5251</v>
      </c>
      <c r="J67" s="1">
        <f>VLOOKUP($A:$A,housing_data_power_query!$A:$F,4,FALSE)</f>
        <v>5257</v>
      </c>
      <c r="K67" s="1">
        <f>VLOOKUP($A:$A,housing_data_power_query!$A:$F,5,FALSE)</f>
        <v>5264</v>
      </c>
      <c r="L67" s="1">
        <f>VLOOKUP($A:$A,housing_data_power_query!$A:$F,6,FALSE)</f>
        <v>5270</v>
      </c>
      <c r="M67" s="36">
        <f>(L67-H67)/H67</f>
        <v>4.383457213645893E-3</v>
      </c>
    </row>
    <row r="68" spans="1:13" x14ac:dyDescent="0.2">
      <c r="A68" s="3" t="s">
        <v>66</v>
      </c>
      <c r="B68" s="4">
        <v>22902</v>
      </c>
      <c r="C68" s="4">
        <v>23190</v>
      </c>
      <c r="D68" s="4">
        <v>23257</v>
      </c>
      <c r="E68" s="4">
        <v>23289</v>
      </c>
      <c r="F68" s="4">
        <v>23484</v>
      </c>
      <c r="G68" s="33">
        <f>(F68-B68)/B68</f>
        <v>2.5412627718103223E-2</v>
      </c>
      <c r="H68" s="1">
        <f>VLOOKUP($A:$A,housing_data_power_query!$A:$F,2,FALSE)</f>
        <v>12544</v>
      </c>
      <c r="I68" s="1">
        <f>VLOOKUP($A:$A,housing_data_power_query!$A:$F,3,FALSE)</f>
        <v>12599</v>
      </c>
      <c r="J68" s="1">
        <f>VLOOKUP($A:$A,housing_data_power_query!$A:$F,4,FALSE)</f>
        <v>12663</v>
      </c>
      <c r="K68" s="1">
        <f>VLOOKUP($A:$A,housing_data_power_query!$A:$F,5,FALSE)</f>
        <v>12719</v>
      </c>
      <c r="L68" s="1">
        <f>VLOOKUP($A:$A,housing_data_power_query!$A:$F,6,FALSE)</f>
        <v>12733</v>
      </c>
      <c r="M68" s="36">
        <f>(L68-H68)/H68</f>
        <v>1.5066964285714286E-2</v>
      </c>
    </row>
    <row r="69" spans="1:13" x14ac:dyDescent="0.2">
      <c r="A69" s="3" t="s">
        <v>67</v>
      </c>
      <c r="B69" s="4">
        <v>8235</v>
      </c>
      <c r="C69" s="4">
        <v>8322</v>
      </c>
      <c r="D69" s="4">
        <v>8400</v>
      </c>
      <c r="E69" s="4">
        <v>8572</v>
      </c>
      <c r="F69" s="4">
        <v>8596</v>
      </c>
      <c r="G69" s="33">
        <f>(F69-B69)/B69</f>
        <v>4.3837279902853674E-2</v>
      </c>
      <c r="H69" s="1">
        <f>VLOOKUP($A:$A,housing_data_power_query!$A:$F,2,FALSE)</f>
        <v>7654</v>
      </c>
      <c r="I69" s="1">
        <f>VLOOKUP($A:$A,housing_data_power_query!$A:$F,3,FALSE)</f>
        <v>7674</v>
      </c>
      <c r="J69" s="1">
        <f>VLOOKUP($A:$A,housing_data_power_query!$A:$F,4,FALSE)</f>
        <v>7700</v>
      </c>
      <c r="K69" s="1">
        <f>VLOOKUP($A:$A,housing_data_power_query!$A:$F,5,FALSE)</f>
        <v>7734</v>
      </c>
      <c r="L69" s="1">
        <f>VLOOKUP($A:$A,housing_data_power_query!$A:$F,6,FALSE)</f>
        <v>7755</v>
      </c>
      <c r="M69" s="36">
        <f>(L69-H69)/H69</f>
        <v>1.319571465900183E-2</v>
      </c>
    </row>
    <row r="70" spans="1:13" x14ac:dyDescent="0.2">
      <c r="A70" s="3" t="s">
        <v>68</v>
      </c>
      <c r="B70" s="4">
        <v>25135</v>
      </c>
      <c r="C70" s="4">
        <v>25335</v>
      </c>
      <c r="D70" s="4">
        <v>25583</v>
      </c>
      <c r="E70" s="4">
        <v>25785</v>
      </c>
      <c r="F70" s="4">
        <v>26083</v>
      </c>
      <c r="G70" s="33">
        <f>(F70-B70)/B70</f>
        <v>3.7716331808235526E-2</v>
      </c>
      <c r="H70" s="1">
        <f>VLOOKUP($A:$A,housing_data_power_query!$A:$F,2,FALSE)</f>
        <v>14863</v>
      </c>
      <c r="I70" s="1">
        <f>VLOOKUP($A:$A,housing_data_power_query!$A:$F,3,FALSE)</f>
        <v>14879</v>
      </c>
      <c r="J70" s="1">
        <f>VLOOKUP($A:$A,housing_data_power_query!$A:$F,4,FALSE)</f>
        <v>14900</v>
      </c>
      <c r="K70" s="1">
        <f>VLOOKUP($A:$A,housing_data_power_query!$A:$F,5,FALSE)</f>
        <v>14919</v>
      </c>
      <c r="L70" s="1">
        <f>VLOOKUP($A:$A,housing_data_power_query!$A:$F,6,FALSE)</f>
        <v>14933</v>
      </c>
      <c r="M70" s="36">
        <f>(L70-H70)/H70</f>
        <v>4.7096817600753545E-3</v>
      </c>
    </row>
    <row r="71" spans="1:13" x14ac:dyDescent="0.2">
      <c r="A71" s="3" t="s">
        <v>69</v>
      </c>
      <c r="B71" s="4">
        <v>296899</v>
      </c>
      <c r="C71" s="4">
        <v>298394</v>
      </c>
      <c r="D71" s="4">
        <v>300910</v>
      </c>
      <c r="E71" s="4">
        <v>303575</v>
      </c>
      <c r="F71" s="4">
        <v>306235</v>
      </c>
      <c r="G71" s="33">
        <f>(F71-B71)/B71</f>
        <v>3.1445036864388223E-2</v>
      </c>
      <c r="H71" s="1">
        <f>VLOOKUP($A:$A,housing_data_power_query!$A:$F,2,FALSE)</f>
        <v>114633</v>
      </c>
      <c r="I71" s="1">
        <f>VLOOKUP($A:$A,housing_data_power_query!$A:$F,3,FALSE)</f>
        <v>116189</v>
      </c>
      <c r="J71" s="1">
        <f>VLOOKUP($A:$A,housing_data_power_query!$A:$F,4,FALSE)</f>
        <v>117687</v>
      </c>
      <c r="K71" s="1">
        <f>VLOOKUP($A:$A,housing_data_power_query!$A:$F,5,FALSE)</f>
        <v>119133</v>
      </c>
      <c r="L71" s="1">
        <f>VLOOKUP($A:$A,housing_data_power_query!$A:$F,6,FALSE)</f>
        <v>120328</v>
      </c>
      <c r="M71" s="36">
        <f>(L71-H71)/H71</f>
        <v>4.9680284036882925E-2</v>
      </c>
    </row>
    <row r="72" spans="1:13" x14ac:dyDescent="0.2">
      <c r="A72" s="3" t="s">
        <v>70</v>
      </c>
      <c r="B72" s="4">
        <v>12999</v>
      </c>
      <c r="C72" s="4">
        <v>13174</v>
      </c>
      <c r="D72" s="4">
        <v>13357</v>
      </c>
      <c r="E72" s="4">
        <v>13278</v>
      </c>
      <c r="F72" s="4">
        <v>13230</v>
      </c>
      <c r="G72" s="33">
        <f>(F72-B72)/B72</f>
        <v>1.7770597738287562E-2</v>
      </c>
      <c r="H72" s="1">
        <f>VLOOKUP($A:$A,housing_data_power_query!$A:$F,2,FALSE)</f>
        <v>9810</v>
      </c>
      <c r="I72" s="1">
        <f>VLOOKUP($A:$A,housing_data_power_query!$A:$F,3,FALSE)</f>
        <v>9838</v>
      </c>
      <c r="J72" s="1">
        <f>VLOOKUP($A:$A,housing_data_power_query!$A:$F,4,FALSE)</f>
        <v>9878</v>
      </c>
      <c r="K72" s="1">
        <f>VLOOKUP($A:$A,housing_data_power_query!$A:$F,5,FALSE)</f>
        <v>9912</v>
      </c>
      <c r="L72" s="1">
        <f>VLOOKUP($A:$A,housing_data_power_query!$A:$F,6,FALSE)</f>
        <v>9946</v>
      </c>
      <c r="M72" s="36">
        <f>(L72-H72)/H72</f>
        <v>1.3863404689092763E-2</v>
      </c>
    </row>
    <row r="73" spans="1:13" x14ac:dyDescent="0.2">
      <c r="A73" s="3" t="s">
        <v>71</v>
      </c>
      <c r="B73" s="4">
        <v>23465</v>
      </c>
      <c r="C73" s="4">
        <v>23651</v>
      </c>
      <c r="D73" s="4">
        <v>23711</v>
      </c>
      <c r="E73" s="4">
        <v>23920</v>
      </c>
      <c r="F73" s="4">
        <v>23932</v>
      </c>
      <c r="G73" s="33">
        <f>(F73-B73)/B73</f>
        <v>1.9901981674834861E-2</v>
      </c>
      <c r="H73" s="1">
        <f>VLOOKUP($A:$A,housing_data_power_query!$A:$F,2,FALSE)</f>
        <v>23069</v>
      </c>
      <c r="I73" s="1">
        <f>VLOOKUP($A:$A,housing_data_power_query!$A:$F,3,FALSE)</f>
        <v>23133</v>
      </c>
      <c r="J73" s="1">
        <f>VLOOKUP($A:$A,housing_data_power_query!$A:$F,4,FALSE)</f>
        <v>23202</v>
      </c>
      <c r="K73" s="1">
        <f>VLOOKUP($A:$A,housing_data_power_query!$A:$F,5,FALSE)</f>
        <v>23260</v>
      </c>
      <c r="L73" s="1">
        <f>VLOOKUP($A:$A,housing_data_power_query!$A:$F,6,FALSE)</f>
        <v>23323</v>
      </c>
      <c r="M73" s="36">
        <f>(L73-H73)/H73</f>
        <v>1.1010446920109237E-2</v>
      </c>
    </row>
    <row r="74" spans="1:13" x14ac:dyDescent="0.2">
      <c r="A74" s="3" t="s">
        <v>72</v>
      </c>
      <c r="B74" s="4">
        <v>189883</v>
      </c>
      <c r="C74" s="4">
        <v>189533</v>
      </c>
      <c r="D74" s="4">
        <v>188425</v>
      </c>
      <c r="E74" s="4">
        <v>187769</v>
      </c>
      <c r="F74" s="4">
        <v>187714</v>
      </c>
      <c r="G74" s="33">
        <f>(F74-B74)/B74</f>
        <v>-1.1422823528172612E-2</v>
      </c>
      <c r="H74" s="1">
        <f>VLOOKUP($A:$A,housing_data_power_query!$A:$F,2,FALSE)</f>
        <v>85986</v>
      </c>
      <c r="I74" s="1">
        <f>VLOOKUP($A:$A,housing_data_power_query!$A:$F,3,FALSE)</f>
        <v>86141</v>
      </c>
      <c r="J74" s="1">
        <f>VLOOKUP($A:$A,housing_data_power_query!$A:$F,4,FALSE)</f>
        <v>86251</v>
      </c>
      <c r="K74" s="1">
        <f>VLOOKUP($A:$A,housing_data_power_query!$A:$F,5,FALSE)</f>
        <v>86339</v>
      </c>
      <c r="L74" s="1">
        <f>VLOOKUP($A:$A,housing_data_power_query!$A:$F,6,FALSE)</f>
        <v>86423</v>
      </c>
      <c r="M74" s="36">
        <f>(L74-H74)/H74</f>
        <v>5.0822226874142305E-3</v>
      </c>
    </row>
    <row r="75" spans="1:13" x14ac:dyDescent="0.2">
      <c r="A75" s="3" t="s">
        <v>75</v>
      </c>
      <c r="B75" s="4">
        <v>40504</v>
      </c>
      <c r="C75" s="4">
        <v>40545</v>
      </c>
      <c r="D75" s="4">
        <v>40536</v>
      </c>
      <c r="E75" s="4">
        <v>40434</v>
      </c>
      <c r="F75" s="4">
        <v>40293</v>
      </c>
      <c r="G75" s="33">
        <f>(F75-B75)/B75</f>
        <v>-5.2093620383172031E-3</v>
      </c>
      <c r="H75" s="1">
        <f>VLOOKUP($A:$A,housing_data_power_query!$A:$F,2,FALSE)</f>
        <v>21678</v>
      </c>
      <c r="I75" s="1">
        <f>VLOOKUP($A:$A,housing_data_power_query!$A:$F,3,FALSE)</f>
        <v>21711</v>
      </c>
      <c r="J75" s="1">
        <f>VLOOKUP($A:$A,housing_data_power_query!$A:$F,4,FALSE)</f>
        <v>21771</v>
      </c>
      <c r="K75" s="1">
        <f>VLOOKUP($A:$A,housing_data_power_query!$A:$F,5,FALSE)</f>
        <v>21851</v>
      </c>
      <c r="L75" s="1">
        <f>VLOOKUP($A:$A,housing_data_power_query!$A:$F,6,FALSE)</f>
        <v>21905</v>
      </c>
      <c r="M75" s="36">
        <f>(L75-H75)/H75</f>
        <v>1.0471445705323369E-2</v>
      </c>
    </row>
    <row r="76" spans="1:13" x14ac:dyDescent="0.2">
      <c r="A76" s="3" t="s">
        <v>76</v>
      </c>
      <c r="B76" s="4">
        <v>8057</v>
      </c>
      <c r="C76" s="4">
        <v>8048</v>
      </c>
      <c r="D76" s="4">
        <v>8189</v>
      </c>
      <c r="E76" s="4">
        <v>8167</v>
      </c>
      <c r="F76" s="4">
        <v>8178</v>
      </c>
      <c r="G76" s="33">
        <f>(F76-B76)/B76</f>
        <v>1.5017996772992429E-2</v>
      </c>
      <c r="H76" s="1">
        <f>VLOOKUP($A:$A,housing_data_power_query!$A:$F,2,FALSE)</f>
        <v>5956</v>
      </c>
      <c r="I76" s="1">
        <f>VLOOKUP($A:$A,housing_data_power_query!$A:$F,3,FALSE)</f>
        <v>5965</v>
      </c>
      <c r="J76" s="1">
        <f>VLOOKUP($A:$A,housing_data_power_query!$A:$F,4,FALSE)</f>
        <v>5976</v>
      </c>
      <c r="K76" s="1">
        <f>VLOOKUP($A:$A,housing_data_power_query!$A:$F,5,FALSE)</f>
        <v>5985</v>
      </c>
      <c r="L76" s="1">
        <f>VLOOKUP($A:$A,housing_data_power_query!$A:$F,6,FALSE)</f>
        <v>5991</v>
      </c>
      <c r="M76" s="36">
        <f>(L76-H76)/H76</f>
        <v>5.8764271323035596E-3</v>
      </c>
    </row>
    <row r="77" spans="1:13" x14ac:dyDescent="0.2">
      <c r="A77" s="3" t="s">
        <v>77</v>
      </c>
      <c r="B77" s="4">
        <v>68004</v>
      </c>
      <c r="C77" s="4">
        <v>67992</v>
      </c>
      <c r="D77" s="4">
        <v>67970</v>
      </c>
      <c r="E77" s="4">
        <v>68005</v>
      </c>
      <c r="F77" s="4">
        <v>67982</v>
      </c>
      <c r="G77" s="33">
        <f>(F77-B77)/B77</f>
        <v>-3.2351038174225044E-4</v>
      </c>
      <c r="H77" s="1">
        <f>VLOOKUP($A:$A,housing_data_power_query!$A:$F,2,FALSE)</f>
        <v>30236</v>
      </c>
      <c r="I77" s="1">
        <f>VLOOKUP($A:$A,housing_data_power_query!$A:$F,3,FALSE)</f>
        <v>30289</v>
      </c>
      <c r="J77" s="1">
        <f>VLOOKUP($A:$A,housing_data_power_query!$A:$F,4,FALSE)</f>
        <v>30328</v>
      </c>
      <c r="K77" s="1">
        <f>VLOOKUP($A:$A,housing_data_power_query!$A:$F,5,FALSE)</f>
        <v>30384</v>
      </c>
      <c r="L77" s="1">
        <f>VLOOKUP($A:$A,housing_data_power_query!$A:$F,6,FALSE)</f>
        <v>30418</v>
      </c>
      <c r="M77" s="36">
        <f>(L77-H77)/H77</f>
        <v>6.0193147241698634E-3</v>
      </c>
    </row>
    <row r="78" spans="1:13" x14ac:dyDescent="0.2">
      <c r="A78" s="3" t="s">
        <v>73</v>
      </c>
      <c r="B78" s="4">
        <v>160394</v>
      </c>
      <c r="C78" s="4">
        <v>160243</v>
      </c>
      <c r="D78" s="4">
        <v>159882</v>
      </c>
      <c r="E78" s="4">
        <v>160280</v>
      </c>
      <c r="F78" s="4">
        <v>160308</v>
      </c>
      <c r="G78" s="33">
        <f>(F78-B78)/B78</f>
        <v>-5.3617965759317676E-4</v>
      </c>
      <c r="H78" s="1">
        <f>VLOOKUP($A:$A,housing_data_power_query!$A:$F,2,FALSE)</f>
        <v>72135</v>
      </c>
      <c r="I78" s="1">
        <f>VLOOKUP($A:$A,housing_data_power_query!$A:$F,3,FALSE)</f>
        <v>72384</v>
      </c>
      <c r="J78" s="1">
        <f>VLOOKUP($A:$A,housing_data_power_query!$A:$F,4,FALSE)</f>
        <v>72798</v>
      </c>
      <c r="K78" s="1">
        <f>VLOOKUP($A:$A,housing_data_power_query!$A:$F,5,FALSE)</f>
        <v>73260</v>
      </c>
      <c r="L78" s="1">
        <f>VLOOKUP($A:$A,housing_data_power_query!$A:$F,6,FALSE)</f>
        <v>73584</v>
      </c>
      <c r="M78" s="36">
        <f>(L78-H78)/H78</f>
        <v>2.0087336244541485E-2</v>
      </c>
    </row>
    <row r="79" spans="1:13" x14ac:dyDescent="0.2">
      <c r="A79" s="3" t="s">
        <v>74</v>
      </c>
      <c r="B79" s="4">
        <v>60942</v>
      </c>
      <c r="C79" s="4">
        <v>60857</v>
      </c>
      <c r="D79" s="4">
        <v>60814</v>
      </c>
      <c r="E79" s="4">
        <v>61062</v>
      </c>
      <c r="F79" s="4">
        <v>61171</v>
      </c>
      <c r="G79" s="33">
        <f>(F79-B79)/B79</f>
        <v>3.7576712283810838E-3</v>
      </c>
      <c r="H79" s="1">
        <f>VLOOKUP($A:$A,housing_data_power_query!$A:$F,2,FALSE)</f>
        <v>27097</v>
      </c>
      <c r="I79" s="1">
        <f>VLOOKUP($A:$A,housing_data_power_query!$A:$F,3,FALSE)</f>
        <v>27193</v>
      </c>
      <c r="J79" s="1">
        <f>VLOOKUP($A:$A,housing_data_power_query!$A:$F,4,FALSE)</f>
        <v>27272</v>
      </c>
      <c r="K79" s="1">
        <f>VLOOKUP($A:$A,housing_data_power_query!$A:$F,5,FALSE)</f>
        <v>27390</v>
      </c>
      <c r="L79" s="1">
        <f>VLOOKUP($A:$A,housing_data_power_query!$A:$F,6,FALSE)</f>
        <v>27494</v>
      </c>
      <c r="M79" s="36">
        <f>(L79-H79)/H79</f>
        <v>1.4651068383953943E-2</v>
      </c>
    </row>
    <row r="80" spans="1:13" x14ac:dyDescent="0.2">
      <c r="A80" s="3" t="s">
        <v>78</v>
      </c>
      <c r="B80" s="4">
        <v>53311</v>
      </c>
      <c r="C80" s="4">
        <v>53043</v>
      </c>
      <c r="D80" s="4">
        <v>52932</v>
      </c>
      <c r="E80" s="4">
        <v>52856</v>
      </c>
      <c r="F80" s="4">
        <v>52757</v>
      </c>
      <c r="G80" s="33">
        <f>(F80-B80)/B80</f>
        <v>-1.0391851587852413E-2</v>
      </c>
      <c r="H80" s="1">
        <f>VLOOKUP($A:$A,housing_data_power_query!$A:$F,2,FALSE)</f>
        <v>23935</v>
      </c>
      <c r="I80" s="1">
        <f>VLOOKUP($A:$A,housing_data_power_query!$A:$F,3,FALSE)</f>
        <v>23968</v>
      </c>
      <c r="J80" s="1">
        <f>VLOOKUP($A:$A,housing_data_power_query!$A:$F,4,FALSE)</f>
        <v>23997</v>
      </c>
      <c r="K80" s="1">
        <f>VLOOKUP($A:$A,housing_data_power_query!$A:$F,5,FALSE)</f>
        <v>24049</v>
      </c>
      <c r="L80" s="1">
        <f>VLOOKUP($A:$A,housing_data_power_query!$A:$F,6,FALSE)</f>
        <v>24082</v>
      </c>
      <c r="M80" s="36">
        <f>(L80-H80)/H80</f>
        <v>6.1416335909755589E-3</v>
      </c>
    </row>
    <row r="81" spans="1:13" x14ac:dyDescent="0.2">
      <c r="A81" s="3" t="s">
        <v>79</v>
      </c>
      <c r="B81" s="4">
        <v>75566</v>
      </c>
      <c r="C81" s="4">
        <v>75685</v>
      </c>
      <c r="D81" s="4">
        <v>75690</v>
      </c>
      <c r="E81" s="4">
        <v>75905</v>
      </c>
      <c r="F81" s="4">
        <v>76129</v>
      </c>
      <c r="G81" s="33">
        <f>(F81-B81)/B81</f>
        <v>7.4504406743773656E-3</v>
      </c>
      <c r="H81" s="1">
        <f>VLOOKUP($A:$A,housing_data_power_query!$A:$F,2,FALSE)</f>
        <v>36975</v>
      </c>
      <c r="I81" s="1">
        <f>VLOOKUP($A:$A,housing_data_power_query!$A:$F,3,FALSE)</f>
        <v>37164</v>
      </c>
      <c r="J81" s="1">
        <f>VLOOKUP($A:$A,housing_data_power_query!$A:$F,4,FALSE)</f>
        <v>37431</v>
      </c>
      <c r="K81" s="1">
        <f>VLOOKUP($A:$A,housing_data_power_query!$A:$F,5,FALSE)</f>
        <v>37626</v>
      </c>
      <c r="L81" s="1">
        <f>VLOOKUP($A:$A,housing_data_power_query!$A:$F,6,FALSE)</f>
        <v>37829</v>
      </c>
      <c r="M81" s="36">
        <f>(L81-H81)/H81</f>
        <v>2.3096686950642327E-2</v>
      </c>
    </row>
    <row r="82" spans="1:13" x14ac:dyDescent="0.2">
      <c r="A82" s="3" t="s">
        <v>80</v>
      </c>
      <c r="B82" s="4">
        <v>371849</v>
      </c>
      <c r="C82" s="4">
        <v>365041</v>
      </c>
      <c r="D82" s="4">
        <v>367947</v>
      </c>
      <c r="E82" s="4">
        <v>370398</v>
      </c>
      <c r="F82" s="4">
        <v>373875</v>
      </c>
      <c r="G82" s="33">
        <f>(F82-B82)/B82</f>
        <v>5.4484481604091988E-3</v>
      </c>
      <c r="H82" s="1">
        <f>VLOOKUP($A:$A,housing_data_power_query!$A:$F,2,FALSE)</f>
        <v>157092</v>
      </c>
      <c r="I82" s="1">
        <f>VLOOKUP($A:$A,housing_data_power_query!$A:$F,3,FALSE)</f>
        <v>158248</v>
      </c>
      <c r="J82" s="1">
        <f>VLOOKUP($A:$A,housing_data_power_query!$A:$F,4,FALSE)</f>
        <v>159552</v>
      </c>
      <c r="K82" s="1">
        <f>VLOOKUP($A:$A,housing_data_power_query!$A:$F,5,FALSE)</f>
        <v>160891</v>
      </c>
      <c r="L82" s="1">
        <f>VLOOKUP($A:$A,housing_data_power_query!$A:$F,6,FALSE)</f>
        <v>163177</v>
      </c>
      <c r="M82" s="36">
        <f>(L82-H82)/H82</f>
        <v>3.8735263412522598E-2</v>
      </c>
    </row>
    <row r="83" spans="1:13" x14ac:dyDescent="0.2">
      <c r="A83" s="3" t="s">
        <v>81</v>
      </c>
      <c r="B83" s="4">
        <v>1789655</v>
      </c>
      <c r="C83" s="4">
        <v>1775196</v>
      </c>
      <c r="D83" s="4">
        <v>1763011</v>
      </c>
      <c r="E83" s="4">
        <v>1762371</v>
      </c>
      <c r="F83" s="4">
        <v>1771063</v>
      </c>
      <c r="G83" s="33">
        <f>(F83-B83)/B83</f>
        <v>-1.0388594449768251E-2</v>
      </c>
      <c r="H83" s="1">
        <f>VLOOKUP($A:$A,housing_data_power_query!$A:$F,2,FALSE)</f>
        <v>791291</v>
      </c>
      <c r="I83" s="1">
        <f>VLOOKUP($A:$A,housing_data_power_query!$A:$F,3,FALSE)</f>
        <v>795635</v>
      </c>
      <c r="J83" s="1">
        <f>VLOOKUP($A:$A,housing_data_power_query!$A:$F,4,FALSE)</f>
        <v>801235</v>
      </c>
      <c r="K83" s="1">
        <f>VLOOKUP($A:$A,housing_data_power_query!$A:$F,5,FALSE)</f>
        <v>806590</v>
      </c>
      <c r="L83" s="1">
        <f>VLOOKUP($A:$A,housing_data_power_query!$A:$F,6,FALSE)</f>
        <v>810540</v>
      </c>
      <c r="M83" s="36">
        <f>(L83-H83)/H83</f>
        <v>2.4326069676010469E-2</v>
      </c>
    </row>
    <row r="84" spans="1:13" x14ac:dyDescent="0.2">
      <c r="A84" s="5" t="s">
        <v>82</v>
      </c>
      <c r="B84" s="6">
        <v>33689</v>
      </c>
      <c r="C84" s="6">
        <v>33906</v>
      </c>
      <c r="D84" s="6">
        <v>34062</v>
      </c>
      <c r="E84" s="6">
        <v>34266</v>
      </c>
      <c r="F84" s="6">
        <v>34460</v>
      </c>
      <c r="G84" s="33">
        <f>(F84-B84)/B84</f>
        <v>2.2885808424114695E-2</v>
      </c>
      <c r="H84" s="1">
        <f>VLOOKUP($A:$A,housing_data_power_query!$A:$F,2,FALSE)</f>
        <v>16425</v>
      </c>
      <c r="I84" s="1">
        <f>VLOOKUP($A:$A,housing_data_power_query!$A:$F,3,FALSE)</f>
        <v>16486</v>
      </c>
      <c r="J84" s="1">
        <f>VLOOKUP($A:$A,housing_data_power_query!$A:$F,4,FALSE)</f>
        <v>16580</v>
      </c>
      <c r="K84" s="1">
        <f>VLOOKUP($A:$A,housing_data_power_query!$A:$F,5,FALSE)</f>
        <v>16688</v>
      </c>
      <c r="L84" s="1">
        <f>VLOOKUP($A:$A,housing_data_power_query!$A:$F,6,FALSE)</f>
        <v>16807</v>
      </c>
      <c r="M84" s="36">
        <f>(L84-H84)/H84</f>
        <v>2.3257229832572297E-2</v>
      </c>
    </row>
    <row r="90" spans="1:13" ht="33" customHeight="1" x14ac:dyDescent="0.2">
      <c r="A90" s="7" t="s">
        <v>83</v>
      </c>
      <c r="B90" s="21"/>
      <c r="C90" s="21"/>
      <c r="D90" s="21"/>
      <c r="E90" s="21"/>
      <c r="F90" s="22"/>
      <c r="G90" s="31"/>
    </row>
    <row r="91" spans="1:13" ht="31" customHeight="1" x14ac:dyDescent="0.2">
      <c r="A91" s="7" t="s">
        <v>84</v>
      </c>
      <c r="B91" s="21"/>
      <c r="C91" s="21"/>
      <c r="D91" s="21"/>
      <c r="E91" s="21"/>
      <c r="F91" s="22"/>
      <c r="G91" s="31"/>
    </row>
    <row r="92" spans="1:13" x14ac:dyDescent="0.2">
      <c r="A92" s="10" t="s">
        <v>85</v>
      </c>
      <c r="B92" s="27"/>
      <c r="C92" s="27"/>
      <c r="D92" s="27"/>
      <c r="E92" s="27"/>
      <c r="F92" s="28"/>
      <c r="G92" s="32"/>
    </row>
    <row r="93" spans="1:13" x14ac:dyDescent="0.2">
      <c r="A93" s="13" t="s">
        <v>86</v>
      </c>
      <c r="B93" s="25"/>
      <c r="C93" s="25"/>
      <c r="D93" s="25"/>
      <c r="E93" s="25"/>
      <c r="F93" s="26"/>
      <c r="G93" s="29"/>
    </row>
    <row r="94" spans="1:13" x14ac:dyDescent="0.2">
      <c r="A94" s="13" t="s">
        <v>87</v>
      </c>
      <c r="B94" s="25"/>
      <c r="C94" s="25"/>
      <c r="D94" s="25"/>
      <c r="E94" s="25"/>
      <c r="F94" s="26"/>
      <c r="G94" s="29"/>
    </row>
    <row r="95" spans="1:13" x14ac:dyDescent="0.2">
      <c r="A95" s="16" t="s">
        <v>88</v>
      </c>
      <c r="B95" s="23"/>
      <c r="C95" s="23"/>
      <c r="D95" s="23"/>
      <c r="E95" s="23"/>
      <c r="F95" s="24"/>
      <c r="G95" s="32"/>
    </row>
  </sheetData>
  <autoFilter ref="A1:M84" xr:uid="{00000000-0001-0000-0000-000000000000}">
    <sortState xmlns:xlrd2="http://schemas.microsoft.com/office/spreadsheetml/2017/richdata2" ref="A2:M84">
      <sortCondition ref="A1:A84"/>
    </sortState>
  </autoFilter>
  <mergeCells count="6">
    <mergeCell ref="A91:F91"/>
    <mergeCell ref="A92:F92"/>
    <mergeCell ref="A93:F93"/>
    <mergeCell ref="A94:F94"/>
    <mergeCell ref="A95:F95"/>
    <mergeCell ref="A90:F90"/>
  </mergeCells>
  <phoneticPr fontId="6" type="noConversion"/>
  <pageMargins left="0.25" right="0.25" top="0.75" bottom="1" header="0.5" footer="0.5"/>
  <pageSetup orientation="landscape" horizontalDpi="200" verticalDpi="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97AFC-E34C-484C-AF8D-107DA78D2193}">
  <dimension ref="A1:F86"/>
  <sheetViews>
    <sheetView workbookViewId="0">
      <selection activeCell="A94" sqref="A94"/>
    </sheetView>
  </sheetViews>
  <sheetFormatPr baseColWidth="10" defaultRowHeight="15" x14ac:dyDescent="0.2"/>
  <cols>
    <col min="1" max="1" width="27" bestFit="1" customWidth="1"/>
    <col min="2" max="6" width="10.6640625" bestFit="1" customWidth="1"/>
  </cols>
  <sheetData>
    <row r="1" spans="1:6" x14ac:dyDescent="0.2">
      <c r="A1" t="s">
        <v>90</v>
      </c>
      <c r="B1" t="s">
        <v>91</v>
      </c>
      <c r="C1" t="s">
        <v>92</v>
      </c>
      <c r="D1" t="s">
        <v>93</v>
      </c>
      <c r="E1" t="s">
        <v>94</v>
      </c>
      <c r="F1" t="s">
        <v>95</v>
      </c>
    </row>
    <row r="2" spans="1:6" x14ac:dyDescent="0.2">
      <c r="A2" s="30" t="s">
        <v>96</v>
      </c>
      <c r="B2">
        <v>2020</v>
      </c>
      <c r="C2">
        <v>2021</v>
      </c>
      <c r="D2">
        <v>2022</v>
      </c>
      <c r="E2">
        <v>2023</v>
      </c>
      <c r="F2">
        <v>2024</v>
      </c>
    </row>
    <row r="3" spans="1:6" x14ac:dyDescent="0.2">
      <c r="A3" s="30" t="s">
        <v>97</v>
      </c>
      <c r="B3">
        <v>10268</v>
      </c>
      <c r="C3">
        <v>10297</v>
      </c>
      <c r="D3">
        <v>10338</v>
      </c>
      <c r="E3">
        <v>10379</v>
      </c>
      <c r="F3">
        <v>10410</v>
      </c>
    </row>
    <row r="4" spans="1:6" x14ac:dyDescent="0.2">
      <c r="A4" s="30" t="s">
        <v>98</v>
      </c>
      <c r="B4">
        <v>6172</v>
      </c>
      <c r="C4">
        <v>6187</v>
      </c>
      <c r="D4">
        <v>6216</v>
      </c>
      <c r="E4">
        <v>6241</v>
      </c>
      <c r="F4">
        <v>6267</v>
      </c>
    </row>
    <row r="5" spans="1:6" x14ac:dyDescent="0.2">
      <c r="A5" s="30" t="s">
        <v>99</v>
      </c>
      <c r="B5">
        <v>51877</v>
      </c>
      <c r="C5">
        <v>52260</v>
      </c>
      <c r="D5">
        <v>52602</v>
      </c>
      <c r="E5">
        <v>53066</v>
      </c>
      <c r="F5">
        <v>53488</v>
      </c>
    </row>
    <row r="6" spans="1:6" x14ac:dyDescent="0.2">
      <c r="A6" s="30" t="s">
        <v>100</v>
      </c>
      <c r="B6">
        <v>15646</v>
      </c>
      <c r="C6">
        <v>15662</v>
      </c>
      <c r="D6">
        <v>15681</v>
      </c>
      <c r="E6">
        <v>15703</v>
      </c>
      <c r="F6">
        <v>15735</v>
      </c>
    </row>
    <row r="7" spans="1:6" x14ac:dyDescent="0.2">
      <c r="A7" s="30" t="s">
        <v>101</v>
      </c>
      <c r="B7">
        <v>17554</v>
      </c>
      <c r="C7">
        <v>17629</v>
      </c>
      <c r="D7">
        <v>17723</v>
      </c>
      <c r="E7">
        <v>17814</v>
      </c>
      <c r="F7">
        <v>17896</v>
      </c>
    </row>
    <row r="8" spans="1:6" x14ac:dyDescent="0.2">
      <c r="A8" s="30" t="s">
        <v>102</v>
      </c>
      <c r="B8">
        <v>9505</v>
      </c>
      <c r="C8">
        <v>9520</v>
      </c>
      <c r="D8">
        <v>9547</v>
      </c>
      <c r="E8">
        <v>9565</v>
      </c>
      <c r="F8">
        <v>9578</v>
      </c>
    </row>
    <row r="9" spans="1:6" x14ac:dyDescent="0.2">
      <c r="A9" s="30" t="s">
        <v>103</v>
      </c>
      <c r="B9">
        <v>5052</v>
      </c>
      <c r="C9">
        <v>5065</v>
      </c>
      <c r="D9">
        <v>5072</v>
      </c>
      <c r="E9">
        <v>5085</v>
      </c>
      <c r="F9">
        <v>5097</v>
      </c>
    </row>
    <row r="10" spans="1:6" x14ac:dyDescent="0.2">
      <c r="A10" s="30" t="s">
        <v>104</v>
      </c>
      <c r="B10">
        <v>27397</v>
      </c>
      <c r="C10">
        <v>27572</v>
      </c>
      <c r="D10">
        <v>27796</v>
      </c>
      <c r="E10">
        <v>27983</v>
      </c>
      <c r="F10">
        <v>28116</v>
      </c>
    </row>
    <row r="11" spans="1:6" x14ac:dyDescent="0.2">
      <c r="A11" s="30" t="s">
        <v>105</v>
      </c>
      <c r="B11">
        <v>48564</v>
      </c>
      <c r="C11">
        <v>48650</v>
      </c>
      <c r="D11">
        <v>48680</v>
      </c>
      <c r="E11">
        <v>48701</v>
      </c>
      <c r="F11">
        <v>48679</v>
      </c>
    </row>
    <row r="12" spans="1:6" x14ac:dyDescent="0.2">
      <c r="A12" s="30" t="s">
        <v>106</v>
      </c>
      <c r="B12">
        <v>12115</v>
      </c>
      <c r="C12">
        <v>12200</v>
      </c>
      <c r="D12">
        <v>12305</v>
      </c>
      <c r="E12">
        <v>12448</v>
      </c>
      <c r="F12">
        <v>12573</v>
      </c>
    </row>
    <row r="13" spans="1:6" x14ac:dyDescent="0.2">
      <c r="A13" s="30" t="s">
        <v>107</v>
      </c>
      <c r="B13">
        <v>76846</v>
      </c>
      <c r="C13">
        <v>77028</v>
      </c>
      <c r="D13">
        <v>77284</v>
      </c>
      <c r="E13">
        <v>77495</v>
      </c>
      <c r="F13">
        <v>77754</v>
      </c>
    </row>
    <row r="14" spans="1:6" x14ac:dyDescent="0.2">
      <c r="A14" s="30" t="s">
        <v>108</v>
      </c>
      <c r="B14">
        <v>20766</v>
      </c>
      <c r="C14">
        <v>20807</v>
      </c>
      <c r="D14">
        <v>20855</v>
      </c>
      <c r="E14">
        <v>21214</v>
      </c>
      <c r="F14">
        <v>21251</v>
      </c>
    </row>
    <row r="15" spans="1:6" x14ac:dyDescent="0.2">
      <c r="A15" s="30" t="s">
        <v>109</v>
      </c>
      <c r="B15">
        <v>59510</v>
      </c>
      <c r="C15">
        <v>59552</v>
      </c>
      <c r="D15">
        <v>59617</v>
      </c>
      <c r="E15">
        <v>59666</v>
      </c>
      <c r="F15">
        <v>59730</v>
      </c>
    </row>
    <row r="16" spans="1:6" x14ac:dyDescent="0.2">
      <c r="A16" s="30" t="s">
        <v>110</v>
      </c>
      <c r="B16">
        <v>25312</v>
      </c>
      <c r="C16">
        <v>25567</v>
      </c>
      <c r="D16">
        <v>25690</v>
      </c>
      <c r="E16">
        <v>25836</v>
      </c>
      <c r="F16">
        <v>25950</v>
      </c>
    </row>
    <row r="17" spans="1:6" x14ac:dyDescent="0.2">
      <c r="A17" s="30" t="s">
        <v>111</v>
      </c>
      <c r="B17">
        <v>17473</v>
      </c>
      <c r="C17">
        <v>17573</v>
      </c>
      <c r="D17">
        <v>17685</v>
      </c>
      <c r="E17">
        <v>17799</v>
      </c>
      <c r="F17">
        <v>17894</v>
      </c>
    </row>
    <row r="18" spans="1:6" x14ac:dyDescent="0.2">
      <c r="A18" s="30" t="s">
        <v>112</v>
      </c>
      <c r="B18">
        <v>17639</v>
      </c>
      <c r="C18">
        <v>17702</v>
      </c>
      <c r="D18">
        <v>17779</v>
      </c>
      <c r="E18">
        <v>17882</v>
      </c>
      <c r="F18">
        <v>17946</v>
      </c>
    </row>
    <row r="19" spans="1:6" x14ac:dyDescent="0.2">
      <c r="A19" s="30" t="s">
        <v>113</v>
      </c>
      <c r="B19">
        <v>20287</v>
      </c>
      <c r="C19">
        <v>20321</v>
      </c>
      <c r="D19">
        <v>20376</v>
      </c>
      <c r="E19">
        <v>20419</v>
      </c>
      <c r="F19">
        <v>20490</v>
      </c>
    </row>
    <row r="20" spans="1:6" x14ac:dyDescent="0.2">
      <c r="A20" s="30" t="s">
        <v>114</v>
      </c>
      <c r="B20">
        <v>21833</v>
      </c>
      <c r="C20">
        <v>21924</v>
      </c>
      <c r="D20">
        <v>22007</v>
      </c>
      <c r="E20">
        <v>22094</v>
      </c>
      <c r="F20">
        <v>22150</v>
      </c>
    </row>
    <row r="21" spans="1:6" x14ac:dyDescent="0.2">
      <c r="A21" s="30" t="s">
        <v>115</v>
      </c>
      <c r="B21">
        <v>32889</v>
      </c>
      <c r="C21">
        <v>33210</v>
      </c>
      <c r="D21">
        <v>33387</v>
      </c>
      <c r="E21">
        <v>33507</v>
      </c>
      <c r="F21">
        <v>33632</v>
      </c>
    </row>
    <row r="22" spans="1:6" x14ac:dyDescent="0.2">
      <c r="A22" s="30" t="s">
        <v>116</v>
      </c>
      <c r="B22">
        <v>10182</v>
      </c>
      <c r="C22">
        <v>10224</v>
      </c>
      <c r="D22">
        <v>10270</v>
      </c>
      <c r="E22">
        <v>10449</v>
      </c>
      <c r="F22">
        <v>10482</v>
      </c>
    </row>
    <row r="23" spans="1:6" x14ac:dyDescent="0.2">
      <c r="A23" s="30" t="s">
        <v>117</v>
      </c>
      <c r="B23">
        <v>19788</v>
      </c>
      <c r="C23">
        <v>19812</v>
      </c>
      <c r="D23">
        <v>19841</v>
      </c>
      <c r="E23">
        <v>19869</v>
      </c>
      <c r="F23">
        <v>19886</v>
      </c>
    </row>
    <row r="24" spans="1:6" x14ac:dyDescent="0.2">
      <c r="A24" s="30" t="s">
        <v>118</v>
      </c>
      <c r="B24">
        <v>13919</v>
      </c>
      <c r="C24">
        <v>13939</v>
      </c>
      <c r="D24">
        <v>13961</v>
      </c>
      <c r="E24">
        <v>13985</v>
      </c>
      <c r="F24">
        <v>14012</v>
      </c>
    </row>
    <row r="25" spans="1:6" x14ac:dyDescent="0.2">
      <c r="A25" s="30" t="s">
        <v>119</v>
      </c>
      <c r="B25">
        <v>47513</v>
      </c>
      <c r="C25">
        <v>47612</v>
      </c>
      <c r="D25">
        <v>47709</v>
      </c>
      <c r="E25">
        <v>47892</v>
      </c>
      <c r="F25">
        <v>47969</v>
      </c>
    </row>
    <row r="26" spans="1:6" x14ac:dyDescent="0.2">
      <c r="A26" s="30" t="s">
        <v>120</v>
      </c>
      <c r="B26">
        <v>21781</v>
      </c>
      <c r="C26">
        <v>21855</v>
      </c>
      <c r="D26">
        <v>21983</v>
      </c>
      <c r="E26">
        <v>22105</v>
      </c>
      <c r="F26">
        <v>22240</v>
      </c>
    </row>
    <row r="27" spans="1:6" x14ac:dyDescent="0.2">
      <c r="A27" s="30" t="s">
        <v>121</v>
      </c>
      <c r="B27">
        <v>183185</v>
      </c>
      <c r="C27">
        <v>183570</v>
      </c>
      <c r="D27">
        <v>183995</v>
      </c>
      <c r="E27">
        <v>184315</v>
      </c>
      <c r="F27">
        <v>184543</v>
      </c>
    </row>
    <row r="28" spans="1:6" x14ac:dyDescent="0.2">
      <c r="A28" s="30" t="s">
        <v>122</v>
      </c>
      <c r="B28">
        <v>16872</v>
      </c>
      <c r="C28">
        <v>16957</v>
      </c>
      <c r="D28">
        <v>17057</v>
      </c>
      <c r="E28">
        <v>17151</v>
      </c>
      <c r="F28">
        <v>17234</v>
      </c>
    </row>
    <row r="29" spans="1:6" x14ac:dyDescent="0.2">
      <c r="A29" s="30" t="s">
        <v>123</v>
      </c>
      <c r="B29">
        <v>10393</v>
      </c>
      <c r="C29">
        <v>10395</v>
      </c>
      <c r="D29">
        <v>10392</v>
      </c>
      <c r="E29">
        <v>10396</v>
      </c>
      <c r="F29">
        <v>10408</v>
      </c>
    </row>
    <row r="30" spans="1:6" x14ac:dyDescent="0.2">
      <c r="A30" s="30" t="s">
        <v>124</v>
      </c>
      <c r="B30">
        <v>45903</v>
      </c>
      <c r="C30">
        <v>46352</v>
      </c>
      <c r="D30">
        <v>46892</v>
      </c>
      <c r="E30">
        <v>47588</v>
      </c>
      <c r="F30">
        <v>48178</v>
      </c>
    </row>
    <row r="31" spans="1:6" x14ac:dyDescent="0.2">
      <c r="A31" s="30" t="s">
        <v>125</v>
      </c>
      <c r="B31">
        <v>16033</v>
      </c>
      <c r="C31">
        <v>16060</v>
      </c>
      <c r="D31">
        <v>16098</v>
      </c>
      <c r="E31">
        <v>16131</v>
      </c>
      <c r="F31">
        <v>16159</v>
      </c>
    </row>
    <row r="32" spans="1:6" x14ac:dyDescent="0.2">
      <c r="A32" s="30" t="s">
        <v>126</v>
      </c>
      <c r="B32">
        <v>21410</v>
      </c>
      <c r="C32">
        <v>21477</v>
      </c>
      <c r="D32">
        <v>21542</v>
      </c>
      <c r="E32">
        <v>21594</v>
      </c>
      <c r="F32">
        <v>21667</v>
      </c>
    </row>
    <row r="33" spans="1:6" x14ac:dyDescent="0.2">
      <c r="A33" s="30" t="s">
        <v>127</v>
      </c>
      <c r="B33">
        <v>18636</v>
      </c>
      <c r="C33">
        <v>18663</v>
      </c>
      <c r="D33">
        <v>18805</v>
      </c>
      <c r="E33">
        <v>19112</v>
      </c>
      <c r="F33">
        <v>19201</v>
      </c>
    </row>
    <row r="34" spans="1:6" x14ac:dyDescent="0.2">
      <c r="A34" s="30" t="s">
        <v>128</v>
      </c>
      <c r="B34">
        <v>20320</v>
      </c>
      <c r="C34">
        <v>20338</v>
      </c>
      <c r="D34">
        <v>20360</v>
      </c>
      <c r="E34">
        <v>20380</v>
      </c>
      <c r="F34">
        <v>20402</v>
      </c>
    </row>
    <row r="35" spans="1:6" x14ac:dyDescent="0.2">
      <c r="A35" s="30" t="s">
        <v>129</v>
      </c>
      <c r="B35">
        <v>125342</v>
      </c>
      <c r="C35">
        <v>125763</v>
      </c>
      <c r="D35">
        <v>126276</v>
      </c>
      <c r="E35">
        <v>126699</v>
      </c>
      <c r="F35">
        <v>127166</v>
      </c>
    </row>
    <row r="36" spans="1:6" x14ac:dyDescent="0.2">
      <c r="A36" s="30" t="s">
        <v>130</v>
      </c>
      <c r="B36">
        <v>24669</v>
      </c>
      <c r="C36">
        <v>24742</v>
      </c>
      <c r="D36">
        <v>24849</v>
      </c>
      <c r="E36">
        <v>24942</v>
      </c>
      <c r="F36">
        <v>25033</v>
      </c>
    </row>
    <row r="37" spans="1:6" x14ac:dyDescent="0.2">
      <c r="A37" s="30" t="s">
        <v>131</v>
      </c>
      <c r="B37">
        <v>19864</v>
      </c>
      <c r="C37">
        <v>19918</v>
      </c>
      <c r="D37">
        <v>20093</v>
      </c>
      <c r="E37">
        <v>20127</v>
      </c>
      <c r="F37">
        <v>20167</v>
      </c>
    </row>
    <row r="38" spans="1:6" x14ac:dyDescent="0.2">
      <c r="A38" s="30" t="s">
        <v>132</v>
      </c>
      <c r="B38">
        <v>8881</v>
      </c>
      <c r="C38">
        <v>9005</v>
      </c>
      <c r="D38">
        <v>9149</v>
      </c>
      <c r="E38">
        <v>9288</v>
      </c>
      <c r="F38">
        <v>9422</v>
      </c>
    </row>
    <row r="39" spans="1:6" x14ac:dyDescent="0.2">
      <c r="A39" s="30" t="s">
        <v>133</v>
      </c>
      <c r="B39">
        <v>28507</v>
      </c>
      <c r="C39">
        <v>28613</v>
      </c>
      <c r="D39">
        <v>28679</v>
      </c>
      <c r="E39">
        <v>28746</v>
      </c>
      <c r="F39">
        <v>28803</v>
      </c>
    </row>
    <row r="40" spans="1:6" x14ac:dyDescent="0.2">
      <c r="A40" s="30" t="s">
        <v>134</v>
      </c>
      <c r="B40">
        <v>69096</v>
      </c>
      <c r="C40">
        <v>69205</v>
      </c>
      <c r="D40">
        <v>69337</v>
      </c>
      <c r="E40">
        <v>69433</v>
      </c>
      <c r="F40">
        <v>69519</v>
      </c>
    </row>
    <row r="41" spans="1:6" x14ac:dyDescent="0.2">
      <c r="A41" s="30" t="s">
        <v>135</v>
      </c>
      <c r="B41">
        <v>114143</v>
      </c>
      <c r="C41">
        <v>114528</v>
      </c>
      <c r="D41">
        <v>114842</v>
      </c>
      <c r="E41">
        <v>115192</v>
      </c>
      <c r="F41">
        <v>115779</v>
      </c>
    </row>
    <row r="42" spans="1:6" x14ac:dyDescent="0.2">
      <c r="A42" s="30" t="s">
        <v>136</v>
      </c>
      <c r="B42">
        <v>11578</v>
      </c>
      <c r="C42">
        <v>11627</v>
      </c>
      <c r="D42">
        <v>11682</v>
      </c>
      <c r="E42">
        <v>11735</v>
      </c>
      <c r="F42">
        <v>11776</v>
      </c>
    </row>
    <row r="43" spans="1:6" x14ac:dyDescent="0.2">
      <c r="A43" s="30" t="s">
        <v>137</v>
      </c>
      <c r="B43">
        <v>265551</v>
      </c>
      <c r="C43">
        <v>266995</v>
      </c>
      <c r="D43">
        <v>268921</v>
      </c>
      <c r="E43">
        <v>271327</v>
      </c>
      <c r="F43">
        <v>273026</v>
      </c>
    </row>
    <row r="44" spans="1:6" x14ac:dyDescent="0.2">
      <c r="A44" s="30" t="s">
        <v>138</v>
      </c>
      <c r="B44">
        <v>2272</v>
      </c>
      <c r="C44">
        <v>2286</v>
      </c>
      <c r="D44">
        <v>2302</v>
      </c>
      <c r="E44">
        <v>2320</v>
      </c>
      <c r="F44">
        <v>2338</v>
      </c>
    </row>
    <row r="45" spans="1:6" x14ac:dyDescent="0.2">
      <c r="A45" s="30" t="s">
        <v>139</v>
      </c>
      <c r="B45">
        <v>13323</v>
      </c>
      <c r="C45">
        <v>13376</v>
      </c>
      <c r="D45">
        <v>13440</v>
      </c>
      <c r="E45">
        <v>13510</v>
      </c>
      <c r="F45">
        <v>13558</v>
      </c>
    </row>
    <row r="46" spans="1:6" x14ac:dyDescent="0.2">
      <c r="A46" s="30" t="s">
        <v>140</v>
      </c>
      <c r="B46">
        <v>36757</v>
      </c>
      <c r="C46">
        <v>36943</v>
      </c>
      <c r="D46">
        <v>37182</v>
      </c>
      <c r="E46">
        <v>37373</v>
      </c>
      <c r="F46">
        <v>37496</v>
      </c>
    </row>
    <row r="47" spans="1:6" x14ac:dyDescent="0.2">
      <c r="A47" s="30" t="s">
        <v>141</v>
      </c>
      <c r="B47">
        <v>15457</v>
      </c>
      <c r="C47">
        <v>15564</v>
      </c>
      <c r="D47">
        <v>15736</v>
      </c>
      <c r="E47">
        <v>15903</v>
      </c>
      <c r="F47">
        <v>16097</v>
      </c>
    </row>
    <row r="48" spans="1:6" x14ac:dyDescent="0.2">
      <c r="A48" s="30" t="s">
        <v>142</v>
      </c>
      <c r="B48">
        <v>43589</v>
      </c>
      <c r="C48">
        <v>43699</v>
      </c>
      <c r="D48">
        <v>43828</v>
      </c>
      <c r="E48">
        <v>43924</v>
      </c>
      <c r="F48">
        <v>44010</v>
      </c>
    </row>
    <row r="49" spans="1:6" x14ac:dyDescent="0.2">
      <c r="A49" s="30" t="s">
        <v>143</v>
      </c>
      <c r="B49">
        <v>78658</v>
      </c>
      <c r="C49">
        <v>79306</v>
      </c>
      <c r="D49">
        <v>80151</v>
      </c>
      <c r="E49">
        <v>81297</v>
      </c>
      <c r="F49">
        <v>82241</v>
      </c>
    </row>
    <row r="50" spans="1:6" x14ac:dyDescent="0.2">
      <c r="A50" s="30" t="s">
        <v>144</v>
      </c>
      <c r="B50">
        <v>4066</v>
      </c>
      <c r="C50">
        <v>4069</v>
      </c>
      <c r="D50">
        <v>4073</v>
      </c>
      <c r="E50">
        <v>4080</v>
      </c>
      <c r="F50">
        <v>4087</v>
      </c>
    </row>
    <row r="51" spans="1:6" x14ac:dyDescent="0.2">
      <c r="A51" s="30" t="s">
        <v>145</v>
      </c>
      <c r="B51">
        <v>10528</v>
      </c>
      <c r="C51">
        <v>10556</v>
      </c>
      <c r="D51">
        <v>10607</v>
      </c>
      <c r="E51">
        <v>10651</v>
      </c>
      <c r="F51">
        <v>10691</v>
      </c>
    </row>
    <row r="52" spans="1:6" x14ac:dyDescent="0.2">
      <c r="A52" s="30" t="s">
        <v>146</v>
      </c>
      <c r="B52">
        <v>369753</v>
      </c>
      <c r="C52">
        <v>371729</v>
      </c>
      <c r="D52">
        <v>373561</v>
      </c>
      <c r="E52">
        <v>375315</v>
      </c>
      <c r="F52">
        <v>376730</v>
      </c>
    </row>
    <row r="53" spans="1:6" x14ac:dyDescent="0.2">
      <c r="A53" s="30" t="s">
        <v>147</v>
      </c>
      <c r="B53">
        <v>15477</v>
      </c>
      <c r="C53">
        <v>15590</v>
      </c>
      <c r="D53">
        <v>15718</v>
      </c>
      <c r="E53">
        <v>15836</v>
      </c>
      <c r="F53">
        <v>15949</v>
      </c>
    </row>
    <row r="54" spans="1:6" x14ac:dyDescent="0.2">
      <c r="A54" s="30" t="s">
        <v>148</v>
      </c>
      <c r="B54">
        <v>33461</v>
      </c>
      <c r="C54">
        <v>33515</v>
      </c>
      <c r="D54">
        <v>33598</v>
      </c>
      <c r="E54">
        <v>33664</v>
      </c>
      <c r="F54">
        <v>33719</v>
      </c>
    </row>
    <row r="55" spans="1:6" x14ac:dyDescent="0.2">
      <c r="A55" s="30" t="s">
        <v>149</v>
      </c>
      <c r="B55">
        <v>17406</v>
      </c>
      <c r="C55">
        <v>17494</v>
      </c>
      <c r="D55">
        <v>17598</v>
      </c>
      <c r="E55">
        <v>17669</v>
      </c>
      <c r="F55">
        <v>17742</v>
      </c>
    </row>
    <row r="56" spans="1:6" x14ac:dyDescent="0.2">
      <c r="A56" s="30" t="s">
        <v>150</v>
      </c>
      <c r="B56">
        <v>20900</v>
      </c>
      <c r="C56">
        <v>21006</v>
      </c>
      <c r="D56">
        <v>21116</v>
      </c>
      <c r="E56">
        <v>21273</v>
      </c>
      <c r="F56">
        <v>21402</v>
      </c>
    </row>
    <row r="57" spans="1:6" x14ac:dyDescent="0.2">
      <c r="A57" s="30" t="s">
        <v>151</v>
      </c>
      <c r="B57">
        <v>13215</v>
      </c>
      <c r="C57">
        <v>13235</v>
      </c>
      <c r="D57">
        <v>13258</v>
      </c>
      <c r="E57">
        <v>13279</v>
      </c>
      <c r="F57">
        <v>13291</v>
      </c>
    </row>
    <row r="58" spans="1:6" x14ac:dyDescent="0.2">
      <c r="A58" s="30" t="s">
        <v>152</v>
      </c>
      <c r="B58">
        <v>36888</v>
      </c>
      <c r="C58">
        <v>36976</v>
      </c>
      <c r="D58">
        <v>37128</v>
      </c>
      <c r="E58">
        <v>37250</v>
      </c>
      <c r="F58">
        <v>37383</v>
      </c>
    </row>
    <row r="59" spans="1:6" x14ac:dyDescent="0.2">
      <c r="A59" s="30" t="s">
        <v>153</v>
      </c>
      <c r="B59">
        <v>8624</v>
      </c>
      <c r="C59">
        <v>8655</v>
      </c>
      <c r="D59">
        <v>8692</v>
      </c>
      <c r="E59">
        <v>8727</v>
      </c>
      <c r="F59">
        <v>8764</v>
      </c>
    </row>
    <row r="60" spans="1:6" x14ac:dyDescent="0.2">
      <c r="A60" s="30" t="s">
        <v>154</v>
      </c>
      <c r="B60">
        <v>65903</v>
      </c>
      <c r="C60">
        <v>66188</v>
      </c>
      <c r="D60">
        <v>66671</v>
      </c>
      <c r="E60">
        <v>66919</v>
      </c>
      <c r="F60">
        <v>67219</v>
      </c>
    </row>
    <row r="61" spans="1:6" x14ac:dyDescent="0.2">
      <c r="A61" s="30" t="s">
        <v>155</v>
      </c>
      <c r="B61">
        <v>27906</v>
      </c>
      <c r="C61">
        <v>27952</v>
      </c>
      <c r="D61">
        <v>28119</v>
      </c>
      <c r="E61">
        <v>28291</v>
      </c>
      <c r="F61">
        <v>28467</v>
      </c>
    </row>
    <row r="62" spans="1:6" x14ac:dyDescent="0.2">
      <c r="A62" s="30" t="s">
        <v>156</v>
      </c>
      <c r="B62">
        <v>8929</v>
      </c>
      <c r="C62">
        <v>8928</v>
      </c>
      <c r="D62">
        <v>8929</v>
      </c>
      <c r="E62">
        <v>8929</v>
      </c>
      <c r="F62">
        <v>8925</v>
      </c>
    </row>
    <row r="63" spans="1:6" x14ac:dyDescent="0.2">
      <c r="A63" s="30" t="s">
        <v>157</v>
      </c>
      <c r="B63">
        <v>74655</v>
      </c>
      <c r="C63">
        <v>74884</v>
      </c>
      <c r="D63">
        <v>75182</v>
      </c>
      <c r="E63">
        <v>75693</v>
      </c>
      <c r="F63">
        <v>75942</v>
      </c>
    </row>
    <row r="64" spans="1:6" x14ac:dyDescent="0.2">
      <c r="A64" s="30" t="s">
        <v>158</v>
      </c>
      <c r="B64">
        <v>24575</v>
      </c>
      <c r="C64">
        <v>24722</v>
      </c>
      <c r="D64">
        <v>24916</v>
      </c>
      <c r="E64">
        <v>25105</v>
      </c>
      <c r="F64">
        <v>25264</v>
      </c>
    </row>
    <row r="65" spans="1:6" x14ac:dyDescent="0.2">
      <c r="A65" s="30" t="s">
        <v>159</v>
      </c>
      <c r="B65">
        <v>555111</v>
      </c>
      <c r="C65">
        <v>558186</v>
      </c>
      <c r="D65">
        <v>561501</v>
      </c>
      <c r="E65">
        <v>564636</v>
      </c>
      <c r="F65">
        <v>567207</v>
      </c>
    </row>
    <row r="66" spans="1:6" x14ac:dyDescent="0.2">
      <c r="A66" s="30" t="s">
        <v>160</v>
      </c>
      <c r="B66">
        <v>15544</v>
      </c>
      <c r="C66">
        <v>15650</v>
      </c>
      <c r="D66">
        <v>15695</v>
      </c>
      <c r="E66">
        <v>15813</v>
      </c>
      <c r="F66">
        <v>15961</v>
      </c>
    </row>
    <row r="67" spans="1:6" x14ac:dyDescent="0.2">
      <c r="A67" s="30" t="s">
        <v>161</v>
      </c>
      <c r="B67">
        <v>15249</v>
      </c>
      <c r="C67">
        <v>15268</v>
      </c>
      <c r="D67">
        <v>15313</v>
      </c>
      <c r="E67">
        <v>15354</v>
      </c>
      <c r="F67">
        <v>15402</v>
      </c>
    </row>
    <row r="68" spans="1:6" x14ac:dyDescent="0.2">
      <c r="A68" s="30" t="s">
        <v>162</v>
      </c>
      <c r="B68">
        <v>5247</v>
      </c>
      <c r="C68">
        <v>5251</v>
      </c>
      <c r="D68">
        <v>5257</v>
      </c>
      <c r="E68">
        <v>5264</v>
      </c>
      <c r="F68">
        <v>5270</v>
      </c>
    </row>
    <row r="69" spans="1:6" x14ac:dyDescent="0.2">
      <c r="A69" s="30" t="s">
        <v>163</v>
      </c>
      <c r="B69">
        <v>12544</v>
      </c>
      <c r="C69">
        <v>12599</v>
      </c>
      <c r="D69">
        <v>12663</v>
      </c>
      <c r="E69">
        <v>12719</v>
      </c>
      <c r="F69">
        <v>12733</v>
      </c>
    </row>
    <row r="70" spans="1:6" x14ac:dyDescent="0.2">
      <c r="A70" s="30" t="s">
        <v>164</v>
      </c>
      <c r="B70">
        <v>7654</v>
      </c>
      <c r="C70">
        <v>7674</v>
      </c>
      <c r="D70">
        <v>7700</v>
      </c>
      <c r="E70">
        <v>7734</v>
      </c>
      <c r="F70">
        <v>7755</v>
      </c>
    </row>
    <row r="71" spans="1:6" x14ac:dyDescent="0.2">
      <c r="A71" s="30" t="s">
        <v>165</v>
      </c>
      <c r="B71">
        <v>14863</v>
      </c>
      <c r="C71">
        <v>14879</v>
      </c>
      <c r="D71">
        <v>14900</v>
      </c>
      <c r="E71">
        <v>14919</v>
      </c>
      <c r="F71">
        <v>14933</v>
      </c>
    </row>
    <row r="72" spans="1:6" x14ac:dyDescent="0.2">
      <c r="A72" s="30" t="s">
        <v>166</v>
      </c>
      <c r="B72">
        <v>114633</v>
      </c>
      <c r="C72">
        <v>116189</v>
      </c>
      <c r="D72">
        <v>117687</v>
      </c>
      <c r="E72">
        <v>119133</v>
      </c>
      <c r="F72">
        <v>120328</v>
      </c>
    </row>
    <row r="73" spans="1:6" x14ac:dyDescent="0.2">
      <c r="A73" s="30" t="s">
        <v>167</v>
      </c>
      <c r="B73">
        <v>9810</v>
      </c>
      <c r="C73">
        <v>9838</v>
      </c>
      <c r="D73">
        <v>9878</v>
      </c>
      <c r="E73">
        <v>9912</v>
      </c>
      <c r="F73">
        <v>9946</v>
      </c>
    </row>
    <row r="74" spans="1:6" x14ac:dyDescent="0.2">
      <c r="A74" s="30" t="s">
        <v>168</v>
      </c>
      <c r="B74">
        <v>23069</v>
      </c>
      <c r="C74">
        <v>23133</v>
      </c>
      <c r="D74">
        <v>23202</v>
      </c>
      <c r="E74">
        <v>23260</v>
      </c>
      <c r="F74">
        <v>23323</v>
      </c>
    </row>
    <row r="75" spans="1:6" x14ac:dyDescent="0.2">
      <c r="A75" s="30" t="s">
        <v>169</v>
      </c>
      <c r="B75">
        <v>85986</v>
      </c>
      <c r="C75">
        <v>86141</v>
      </c>
      <c r="D75">
        <v>86251</v>
      </c>
      <c r="E75">
        <v>86339</v>
      </c>
      <c r="F75">
        <v>86423</v>
      </c>
    </row>
    <row r="76" spans="1:6" x14ac:dyDescent="0.2">
      <c r="A76" s="30" t="s">
        <v>170</v>
      </c>
      <c r="B76">
        <v>21678</v>
      </c>
      <c r="C76">
        <v>21711</v>
      </c>
      <c r="D76">
        <v>21771</v>
      </c>
      <c r="E76">
        <v>21851</v>
      </c>
      <c r="F76">
        <v>21905</v>
      </c>
    </row>
    <row r="77" spans="1:6" x14ac:dyDescent="0.2">
      <c r="A77" s="30" t="s">
        <v>171</v>
      </c>
      <c r="B77">
        <v>5956</v>
      </c>
      <c r="C77">
        <v>5965</v>
      </c>
      <c r="D77">
        <v>5976</v>
      </c>
      <c r="E77">
        <v>5985</v>
      </c>
      <c r="F77">
        <v>5991</v>
      </c>
    </row>
    <row r="78" spans="1:6" x14ac:dyDescent="0.2">
      <c r="A78" s="30" t="s">
        <v>172</v>
      </c>
      <c r="B78">
        <v>30236</v>
      </c>
      <c r="C78">
        <v>30289</v>
      </c>
      <c r="D78">
        <v>30328</v>
      </c>
      <c r="E78">
        <v>30384</v>
      </c>
      <c r="F78">
        <v>30418</v>
      </c>
    </row>
    <row r="79" spans="1:6" x14ac:dyDescent="0.2">
      <c r="A79" s="30" t="s">
        <v>173</v>
      </c>
      <c r="B79">
        <v>72135</v>
      </c>
      <c r="C79">
        <v>72384</v>
      </c>
      <c r="D79">
        <v>72798</v>
      </c>
      <c r="E79">
        <v>73260</v>
      </c>
      <c r="F79">
        <v>73584</v>
      </c>
    </row>
    <row r="80" spans="1:6" x14ac:dyDescent="0.2">
      <c r="A80" s="30" t="s">
        <v>174</v>
      </c>
      <c r="B80">
        <v>27097</v>
      </c>
      <c r="C80">
        <v>27193</v>
      </c>
      <c r="D80">
        <v>27272</v>
      </c>
      <c r="E80">
        <v>27390</v>
      </c>
      <c r="F80">
        <v>27494</v>
      </c>
    </row>
    <row r="81" spans="1:6" x14ac:dyDescent="0.2">
      <c r="A81" s="30" t="s">
        <v>175</v>
      </c>
      <c r="B81">
        <v>23935</v>
      </c>
      <c r="C81">
        <v>23968</v>
      </c>
      <c r="D81">
        <v>23997</v>
      </c>
      <c r="E81">
        <v>24049</v>
      </c>
      <c r="F81">
        <v>24082</v>
      </c>
    </row>
    <row r="82" spans="1:6" x14ac:dyDescent="0.2">
      <c r="A82" s="30" t="s">
        <v>176</v>
      </c>
      <c r="B82">
        <v>36975</v>
      </c>
      <c r="C82">
        <v>37164</v>
      </c>
      <c r="D82">
        <v>37431</v>
      </c>
      <c r="E82">
        <v>37626</v>
      </c>
      <c r="F82">
        <v>37829</v>
      </c>
    </row>
    <row r="83" spans="1:6" x14ac:dyDescent="0.2">
      <c r="A83" s="30" t="s">
        <v>177</v>
      </c>
      <c r="B83">
        <v>157092</v>
      </c>
      <c r="C83">
        <v>158248</v>
      </c>
      <c r="D83">
        <v>159552</v>
      </c>
      <c r="E83">
        <v>160891</v>
      </c>
      <c r="F83">
        <v>163177</v>
      </c>
    </row>
    <row r="84" spans="1:6" x14ac:dyDescent="0.2">
      <c r="A84" s="30" t="s">
        <v>178</v>
      </c>
      <c r="B84">
        <v>791291</v>
      </c>
      <c r="C84">
        <v>795635</v>
      </c>
      <c r="D84">
        <v>801235</v>
      </c>
      <c r="E84">
        <v>806590</v>
      </c>
      <c r="F84">
        <v>810540</v>
      </c>
    </row>
    <row r="85" spans="1:6" x14ac:dyDescent="0.2">
      <c r="A85" s="30" t="s">
        <v>179</v>
      </c>
      <c r="B85">
        <v>16425</v>
      </c>
      <c r="C85">
        <v>16486</v>
      </c>
      <c r="D85">
        <v>16580</v>
      </c>
      <c r="E85">
        <v>16688</v>
      </c>
      <c r="F85">
        <v>16807</v>
      </c>
    </row>
    <row r="86" spans="1:6" x14ac:dyDescent="0.2">
      <c r="A86" s="30" t="s">
        <v>180</v>
      </c>
      <c r="B86">
        <v>4575143</v>
      </c>
      <c r="C86">
        <v>4596900</v>
      </c>
      <c r="D86">
        <v>4622165</v>
      </c>
      <c r="E86">
        <v>4648158</v>
      </c>
      <c r="F86">
        <v>4670131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1497A8-B6A7-6E46-9FBA-81F1413283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PivotTable &amp; Analyze</vt:lpstr>
      <vt:lpstr>Population Data</vt:lpstr>
      <vt:lpstr>housing_data_power_query</vt:lpstr>
      <vt:lpstr>CO_1_26</vt:lpstr>
      <vt:lpstr>'Population Data'!Print_Area</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Hossain Sowrob</cp:lastModifiedBy>
  <dcterms:created xsi:type="dcterms:W3CDTF">2025-01-29T16:44:34Z</dcterms:created>
  <dcterms:modified xsi:type="dcterms:W3CDTF">2025-11-12T05:21:02Z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